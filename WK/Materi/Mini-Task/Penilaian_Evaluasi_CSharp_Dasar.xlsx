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01\Documents\Ekskul IT 2026\WK\Materi\Mini-Task\"/>
    </mc:Choice>
  </mc:AlternateContent>
  <xr:revisionPtr revIDLastSave="0" documentId="13_ncr:1_{3F541BDA-89C5-4022-A77D-D892C9497F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Matthew" sheetId="2" r:id="rId2"/>
    <sheet name="Intan" sheetId="3" r:id="rId3"/>
    <sheet name="Valen" sheetId="4" r:id="rId4"/>
    <sheet name="Rafa" sheetId="5" r:id="rId5"/>
  </sheets>
  <calcPr calcId="191029"/>
</workbook>
</file>

<file path=xl/calcChain.xml><?xml version="1.0" encoding="utf-8"?>
<calcChain xmlns="http://schemas.openxmlformats.org/spreadsheetml/2006/main">
  <c r="E29" i="5" l="1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3" i="5"/>
  <c r="E6" i="5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3" i="4"/>
  <c r="E5" i="4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3" i="3"/>
  <c r="E4" i="3" s="1"/>
  <c r="I5" i="3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3" i="2"/>
  <c r="I4" i="2" s="1"/>
  <c r="J7" i="1"/>
  <c r="B7" i="4" l="1"/>
  <c r="I9" i="4"/>
  <c r="I4" i="3"/>
  <c r="E4" i="2"/>
  <c r="I5" i="2" s="1"/>
  <c r="E5" i="3"/>
  <c r="E6" i="4"/>
  <c r="E5" i="2"/>
  <c r="E6" i="3"/>
  <c r="E4" i="5"/>
  <c r="I5" i="5" s="1"/>
  <c r="I4" i="5"/>
  <c r="E6" i="2"/>
  <c r="E4" i="4"/>
  <c r="I5" i="4" s="1"/>
  <c r="E5" i="5"/>
  <c r="I4" i="4"/>
  <c r="I9" i="2" l="1"/>
  <c r="B7" i="2"/>
  <c r="I9" i="5"/>
  <c r="B7" i="5"/>
  <c r="B7" i="3"/>
  <c r="I9" i="3"/>
</calcChain>
</file>

<file path=xl/sharedStrings.xml><?xml version="1.0" encoding="utf-8"?>
<sst xmlns="http://schemas.openxmlformats.org/spreadsheetml/2006/main" count="408" uniqueCount="114">
  <si>
    <t>Rekap Penilaian Evaluasi C# Dasar</t>
  </si>
  <si>
    <t>Ringkasan</t>
  </si>
  <si>
    <t>Nilai</t>
  </si>
  <si>
    <t>Peringkat</t>
  </si>
  <si>
    <t>Nama Siswa</t>
  </si>
  <si>
    <t>Kelas</t>
  </si>
  <si>
    <t>Benar</t>
  </si>
  <si>
    <t>Salah</t>
  </si>
  <si>
    <t>Status</t>
  </si>
  <si>
    <t>KKM</t>
  </si>
  <si>
    <t>Matthew Imanuel Venliputra</t>
  </si>
  <si>
    <t>X RPL 2</t>
  </si>
  <si>
    <t>Lulus</t>
  </si>
  <si>
    <t>Jumlah Siswa</t>
  </si>
  <si>
    <t>Intan Zahra Wulanti</t>
  </si>
  <si>
    <t>X RPL 1</t>
  </si>
  <si>
    <t>Valen Putra Ariansyah</t>
  </si>
  <si>
    <t>Belum Lulus</t>
  </si>
  <si>
    <t>Muhammad Rafa Athaya</t>
  </si>
  <si>
    <t>Rata-rata</t>
  </si>
  <si>
    <t>Nama</t>
  </si>
  <si>
    <t>Penilaian C# Dasar — Matthew Imanuel Venliputra</t>
  </si>
  <si>
    <t>Hasil</t>
  </si>
  <si>
    <t>Jumlah</t>
  </si>
  <si>
    <t>Jumlah Soal</t>
  </si>
  <si>
    <t>Persentase Benar</t>
  </si>
  <si>
    <t>Catatan</t>
  </si>
  <si>
    <t>Berdasarkan 19 jawaban yang tersedia</t>
  </si>
  <si>
    <t>Pembanding</t>
  </si>
  <si>
    <t>Nilai Siswa</t>
  </si>
  <si>
    <t>No</t>
  </si>
  <si>
    <t>Soal / Materi</t>
  </si>
  <si>
    <t>Jawaban Siswa</t>
  </si>
  <si>
    <t>Kunci Jawaban</t>
  </si>
  <si>
    <t>Poin</t>
  </si>
  <si>
    <t>Keterangan</t>
  </si>
  <si>
    <t>File utama yang biasanya digunakan untuk menulis kode pada Console App C# adalah...</t>
  </si>
  <si>
    <t>Program.cs</t>
  </si>
  <si>
    <t>Perintah yang digunakan untuk menampilkan tulisan ke layar dan berpindah ke baris berikutnya adalah...</t>
  </si>
  <si>
    <t>Console.WriteLine()</t>
  </si>
  <si>
    <t>Apa perbedaan utama Console.Write() dan Console.WriteLine()?</t>
  </si>
  <si>
    <t>Console.WriteLine() berpindah ke baris baru setelah menampilkan output</t>
  </si>
  <si>
    <t>Perintah yang digunakan untuk menerima input dari pengguna adalah...</t>
  </si>
  <si>
    <t>Console.ReadLine()</t>
  </si>
  <si>
    <t>Manakah deklarasi variable yang benar untuk menyimpan nama siswa?</t>
  </si>
  <si>
    <t>B. string nama = "Andi";</t>
  </si>
  <si>
    <t>Tipe data yang sesuai untuk menyimpan angka 17 adalah...</t>
  </si>
  <si>
    <t>C. int</t>
  </si>
  <si>
    <t>Tipe data yang cocok untuk menyimpan nilai 85.5 adalah...</t>
  </si>
  <si>
    <t>B. double</t>
  </si>
  <si>
    <t>Tipe data bool hanya dapat menyimpan nilai...</t>
  </si>
  <si>
    <t>C. True dan False</t>
  </si>
  <si>
    <t>Output dari: string nama = "Budi"; Console.WriteLine($"Halo {nama}");</t>
  </si>
  <si>
    <t>B. Halo Budi</t>
  </si>
  <si>
    <t>Apa fungsi dari: int umur = Convert.ToInt32(Console.ReadLine());</t>
  </si>
  <si>
    <t>B. Menerima input dan mengubahnya menjadi int</t>
  </si>
  <si>
    <t>Hasil dari 10 + 5 adalah...</t>
  </si>
  <si>
    <t>B. 15</t>
  </si>
  <si>
    <t>Nilai totalBelanja jika harga = 10000 dan jumlah = 3 adalah...</t>
  </si>
  <si>
    <t>C. 30000</t>
  </si>
  <si>
    <t>Nilai kembalian jika uangPembeli = 50000 dan totalBelanja = 30000 adalah...</t>
  </si>
  <si>
    <t>A. 20000</t>
  </si>
  <si>
    <t>Operator yang digunakan untuk perkalian dalam C# adalah...</t>
  </si>
  <si>
    <t>C. *</t>
  </si>
  <si>
    <t>Operator yang digunakan untuk mengecek apakah dua nilai sama adalah...</t>
  </si>
  <si>
    <t>B. ==</t>
  </si>
  <si>
    <t>Hasil dari: int nilai = 80; bool lulus = nilai &gt;= 75;</t>
  </si>
  <si>
    <t>C. True</t>
  </si>
  <si>
    <t>Hasil dari: Console.WriteLine(10 &lt; 5);</t>
  </si>
  <si>
    <t>D. False</t>
  </si>
  <si>
    <t>Operator != memiliki arti...</t>
  </si>
  <si>
    <t>C. Tidak sama dengan</t>
  </si>
  <si>
    <t>Jika harga=15000, jumlah=2, uang=50000, berapa total, kembalian, dan uangCukup?</t>
  </si>
  <si>
    <t>A. 30000, 20000, True</t>
  </si>
  <si>
    <t>Feedback Belajar</t>
  </si>
  <si>
    <t>Hasil evaluasi</t>
  </si>
  <si>
    <t>Semua jawaban benar pada 19 soal yang tersedia.</t>
  </si>
  <si>
    <t>Saran belajar</t>
  </si>
  <si>
    <t>Pertahankan pemahaman dasar C#. Bisa lanjut ke decision making menggunakan if/else sambil tetap berlatih membaca alur kode.</t>
  </si>
  <si>
    <t>Penilaian C# Dasar — Intan Zahra Wulanti</t>
  </si>
  <si>
    <t>B. 17000, 33000, True</t>
  </si>
  <si>
    <t>Materi yang perlu diperkuat</t>
  </si>
  <si>
    <t>Membaca operasi aritmatika bertahap dalam satu potongan program.</t>
  </si>
  <si>
    <t>Kesalahan utama</t>
  </si>
  <si>
    <t>Pada soal terakhir, total seharusnya 15000 × 2 = 30000 dan kembalian 50000 - 30000 = 20000.</t>
  </si>
  <si>
    <t>Biasakan menuliskan nilai setiap variable secara berurutan sebelum menentukan output akhir.</t>
  </si>
  <si>
    <t>Penilaian C# Dasar — Valen Putra Ariansyah</t>
  </si>
  <si>
    <t>A. Halo nama</t>
  </si>
  <si>
    <t>C. Mengubah angka menjadi string</t>
  </si>
  <si>
    <t>String interpolation</t>
  </si>
  <si>
    <t>Pelajari kembali fungsi $"..." dan bagaimana {nama} diganti dengan nilai variable.</t>
  </si>
  <si>
    <t>Konversi tipe data</t>
  </si>
  <si>
    <t>Convert.ToInt32(Console.ReadLine()) menerima input lalu mengubahnya menjadi integer.</t>
  </si>
  <si>
    <t>Operator perbandingan</t>
  </si>
  <si>
    <t>80 &gt;= 75 menghasilkan True. Latih kembali &gt;, &lt;, &gt;=, &lt;=, ==, dan !=.</t>
  </si>
  <si>
    <t>Coba prediksi output dari 5–10 potongan kode pendek, lalu jalankan program untuk mengecek hasilnya.</t>
  </si>
  <si>
    <t>Penilaian C# Dasar — Muhammad Rafa Athaya</t>
  </si>
  <si>
    <t>D. char</t>
  </si>
  <si>
    <t>A. Angka dan huruf</t>
  </si>
  <si>
    <t>D. Membandingkan umur</t>
  </si>
  <si>
    <t>D. 3000</t>
  </si>
  <si>
    <t>D. %</t>
  </si>
  <si>
    <t>C. !=</t>
  </si>
  <si>
    <t>D. 75000, -25000, False</t>
  </si>
  <si>
    <t>Tipe data</t>
  </si>
  <si>
    <t>Ulangi int, double, string, dan bool. Angka 17 cocok disimpan sebagai int, sedangkan bool hanya True/False.</t>
  </si>
  <si>
    <t>Konversi input</t>
  </si>
  <si>
    <t>Pelajari kembali Convert.ToInt32(Console.ReadLine()) untuk menerima input angka dari pengguna.</t>
  </si>
  <si>
    <t>Operator aritmatika</t>
  </si>
  <si>
    <t>Perkalian memakai *, sedangkan % adalah modulus/sisa bagi. Latih operasi dasar +, -, *, /, %.</t>
  </si>
  <si>
    <t>Sama dengan memakai ==, tidak sama dengan memakai !=. 80 &gt;= 75 menghasilkan True.</t>
  </si>
  <si>
    <t>Membaca alur kode</t>
  </si>
  <si>
    <t>Kerjakan per baris: tentukan nilai variable, hitung operasi, baru tentukan hasil perbandingan.</t>
  </si>
  <si>
    <t>Ulangi materi variable, tipe data, operator aritmatika, dan operator perbandingan sebelum masuk if/else.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</si>
</sst>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b/>
      <sz val="1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FF9E6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164" fontId="0" fillId="0" borderId="13" xfId="0" applyNumberFormat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4" fillId="5" borderId="0" xfId="0" applyFont="1" applyFill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Nilai Siswa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Nilai</c:v>
          </c:tx>
          <c:invertIfNegative val="1"/>
          <c:cat>
            <c:strRef>
              <c:f>Summary!$I$10:$I$13</c:f>
              <c:strCache>
                <c:ptCount val="4"/>
                <c:pt idx="0">
                  <c:v>Matthew Imanuel Venliputra</c:v>
                </c:pt>
                <c:pt idx="1">
                  <c:v>Intan Zahra Wulanti</c:v>
                </c:pt>
                <c:pt idx="2">
                  <c:v>Valen Putra Ariansyah</c:v>
                </c:pt>
                <c:pt idx="3">
                  <c:v>Muhammad Rafa Athaya</c:v>
                </c:pt>
              </c:strCache>
            </c:strRef>
          </c:cat>
          <c:val>
            <c:numRef>
              <c:f>Summary!$J$10:$J$13</c:f>
              <c:numCache>
                <c:formatCode>General</c:formatCode>
                <c:ptCount val="4"/>
                <c:pt idx="0">
                  <c:v>100</c:v>
                </c:pt>
                <c:pt idx="1">
                  <c:v>94.7</c:v>
                </c:pt>
                <c:pt idx="2">
                  <c:v>84.2</c:v>
                </c:pt>
                <c:pt idx="3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D-4105-B33D-FC43C45B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Benar vs Salah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Matthew!$H$4:$H$5</c:f>
              <c:strCache>
                <c:ptCount val="2"/>
                <c:pt idx="0">
                  <c:v>Benar</c:v>
                </c:pt>
                <c:pt idx="1">
                  <c:v>Salah</c:v>
                </c:pt>
              </c:strCache>
            </c:strRef>
          </c:cat>
          <c:val>
            <c:numRef>
              <c:f>Matthew!$I$4:$I$5</c:f>
              <c:numCache>
                <c:formatCode>General</c:formatCode>
                <c:ptCount val="2"/>
                <c:pt idx="0">
                  <c:v>19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0-4D4B-864D-747C82429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Nilai vs KKM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Nilai</c:v>
          </c:tx>
          <c:invertIfNegative val="1"/>
          <c:cat>
            <c:strRef>
              <c:f>Matthew!$H$9:$H$10</c:f>
              <c:strCache>
                <c:ptCount val="2"/>
                <c:pt idx="0">
                  <c:v>Nilai Siswa</c:v>
                </c:pt>
                <c:pt idx="1">
                  <c:v>KKM</c:v>
                </c:pt>
              </c:strCache>
            </c:strRef>
          </c:cat>
          <c:val>
            <c:numRef>
              <c:f>Matthew!$I$9:$I$10</c:f>
              <c:numCache>
                <c:formatCode>General</c:formatCode>
                <c:ptCount val="2"/>
                <c:pt idx="0">
                  <c:v>100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6-4407-BABC-9C10F6741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Benar vs Salah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Intan!$H$4:$H$5</c:f>
              <c:strCache>
                <c:ptCount val="2"/>
                <c:pt idx="0">
                  <c:v>Benar</c:v>
                </c:pt>
                <c:pt idx="1">
                  <c:v>Salah</c:v>
                </c:pt>
              </c:strCache>
            </c:strRef>
          </c:cat>
          <c:val>
            <c:numRef>
              <c:f>Intan!$I$4:$I$5</c:f>
              <c:numCache>
                <c:formatCode>General</c:formatCode>
                <c:ptCount val="2"/>
                <c:pt idx="0">
                  <c:v>18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8-44B9-ADB4-2938F3FA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Nilai vs KKM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Nilai</c:v>
          </c:tx>
          <c:invertIfNegative val="1"/>
          <c:cat>
            <c:strRef>
              <c:f>Intan!$H$9:$H$10</c:f>
              <c:strCache>
                <c:ptCount val="2"/>
                <c:pt idx="0">
                  <c:v>Nilai Siswa</c:v>
                </c:pt>
                <c:pt idx="1">
                  <c:v>KKM</c:v>
                </c:pt>
              </c:strCache>
            </c:strRef>
          </c:cat>
          <c:val>
            <c:numRef>
              <c:f>Intan!$I$9:$I$10</c:f>
              <c:numCache>
                <c:formatCode>General</c:formatCode>
                <c:ptCount val="2"/>
                <c:pt idx="0">
                  <c:v>94.73684210526315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D-4DF2-9116-2D177E305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Benar vs Salah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Valen!$H$4:$H$5</c:f>
              <c:strCache>
                <c:ptCount val="2"/>
                <c:pt idx="0">
                  <c:v>Benar</c:v>
                </c:pt>
                <c:pt idx="1">
                  <c:v>Salah</c:v>
                </c:pt>
              </c:strCache>
            </c:strRef>
          </c:cat>
          <c:val>
            <c:numRef>
              <c:f>Valen!$I$4:$I$5</c:f>
              <c:numCache>
                <c:formatCode>General</c:formatCode>
                <c:ptCount val="2"/>
                <c:pt idx="0">
                  <c:v>16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B-4C25-8BA1-720FA2B5E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Nilai vs KKM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Nilai</c:v>
          </c:tx>
          <c:invertIfNegative val="1"/>
          <c:cat>
            <c:strRef>
              <c:f>Valen!$H$9:$H$10</c:f>
              <c:strCache>
                <c:ptCount val="2"/>
                <c:pt idx="0">
                  <c:v>Nilai Siswa</c:v>
                </c:pt>
                <c:pt idx="1">
                  <c:v>KKM</c:v>
                </c:pt>
              </c:strCache>
            </c:strRef>
          </c:cat>
          <c:val>
            <c:numRef>
              <c:f>Valen!$I$9:$I$10</c:f>
              <c:numCache>
                <c:formatCode>General</c:formatCode>
                <c:ptCount val="2"/>
                <c:pt idx="0">
                  <c:v>84.210526315789465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439-BB88-9DEBC0184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Benar vs Salah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Rafa!$H$4:$H$5</c:f>
              <c:strCache>
                <c:ptCount val="2"/>
                <c:pt idx="0">
                  <c:v>Benar</c:v>
                </c:pt>
                <c:pt idx="1">
                  <c:v>Salah</c:v>
                </c:pt>
              </c:strCache>
            </c:strRef>
          </c:cat>
          <c:val>
            <c:numRef>
              <c:f>Rafa!$I$4:$I$5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C-42AB-916E-ACA968F82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Nilai vs KKM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Nilai</c:v>
          </c:tx>
          <c:invertIfNegative val="1"/>
          <c:cat>
            <c:strRef>
              <c:f>Rafa!$H$9:$H$10</c:f>
              <c:strCache>
                <c:ptCount val="2"/>
                <c:pt idx="0">
                  <c:v>Nilai Siswa</c:v>
                </c:pt>
                <c:pt idx="1">
                  <c:v>KKM</c:v>
                </c:pt>
              </c:strCache>
            </c:strRef>
          </c:cat>
          <c:val>
            <c:numRef>
              <c:f>Rafa!$I$9:$I$10</c:f>
              <c:numCache>
                <c:formatCode>General</c:formatCode>
                <c:ptCount val="2"/>
                <c:pt idx="0">
                  <c:v>57.894736842105267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4-4E84-8A1C-18C2342C2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</xdr:rowOff>
    </xdr:from>
    <xdr:to>
      <xdr:col>6</xdr:col>
      <xdr:colOff>762000</xdr:colOff>
      <xdr:row>30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I23" sqref="I23"/>
    </sheetView>
  </sheetViews>
  <sheetFormatPr defaultRowHeight="13.8"/>
  <cols>
    <col min="1" max="1" width="10" customWidth="1"/>
    <col min="2" max="2" width="30" customWidth="1"/>
    <col min="3" max="3" width="12" customWidth="1"/>
    <col min="4" max="5" width="10" customWidth="1"/>
    <col min="6" max="6" width="12" customWidth="1"/>
    <col min="7" max="7" width="16" customWidth="1"/>
    <col min="9" max="9" width="26" customWidth="1"/>
    <col min="10" max="11" width="12" customWidth="1"/>
  </cols>
  <sheetData>
    <row r="1" spans="1:11" ht="22.35" customHeight="1">
      <c r="A1" s="26" t="s">
        <v>0</v>
      </c>
      <c r="B1" s="26"/>
      <c r="C1" s="26"/>
      <c r="D1" s="26"/>
      <c r="E1" s="26"/>
      <c r="F1" s="26"/>
      <c r="G1" s="26"/>
    </row>
    <row r="2" spans="1:11">
      <c r="I2" s="1" t="s">
        <v>1</v>
      </c>
      <c r="J2" s="3" t="s">
        <v>2</v>
      </c>
    </row>
    <row r="3" spans="1:11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2</v>
      </c>
      <c r="G3" s="3" t="s">
        <v>8</v>
      </c>
      <c r="I3" s="4" t="s">
        <v>9</v>
      </c>
      <c r="J3" s="6">
        <v>75</v>
      </c>
    </row>
    <row r="4" spans="1:11">
      <c r="A4" s="4">
        <v>1</v>
      </c>
      <c r="B4" s="5" t="s">
        <v>10</v>
      </c>
      <c r="C4" s="5" t="s">
        <v>11</v>
      </c>
      <c r="D4" s="5">
        <v>19</v>
      </c>
      <c r="E4" s="5">
        <v>0</v>
      </c>
      <c r="F4" s="13">
        <v>100</v>
      </c>
      <c r="G4" s="6" t="s">
        <v>12</v>
      </c>
      <c r="I4" s="7" t="s">
        <v>13</v>
      </c>
      <c r="J4" s="9">
        <v>4</v>
      </c>
    </row>
    <row r="5" spans="1:11">
      <c r="A5" s="7">
        <v>2</v>
      </c>
      <c r="B5" s="8" t="s">
        <v>14</v>
      </c>
      <c r="C5" s="8" t="s">
        <v>15</v>
      </c>
      <c r="D5" s="8">
        <v>18</v>
      </c>
      <c r="E5" s="8">
        <v>1</v>
      </c>
      <c r="F5" s="14">
        <v>94.7</v>
      </c>
      <c r="G5" s="9" t="s">
        <v>12</v>
      </c>
      <c r="I5" s="7" t="s">
        <v>12</v>
      </c>
      <c r="J5" s="9">
        <v>3</v>
      </c>
    </row>
    <row r="6" spans="1:11">
      <c r="A6" s="7">
        <v>3</v>
      </c>
      <c r="B6" s="8" t="s">
        <v>16</v>
      </c>
      <c r="C6" s="8" t="s">
        <v>15</v>
      </c>
      <c r="D6" s="8">
        <v>16</v>
      </c>
      <c r="E6" s="8">
        <v>3</v>
      </c>
      <c r="F6" s="14">
        <v>84.2</v>
      </c>
      <c r="G6" s="9" t="s">
        <v>12</v>
      </c>
      <c r="I6" s="10" t="s">
        <v>17</v>
      </c>
      <c r="J6" s="12">
        <v>1</v>
      </c>
    </row>
    <row r="7" spans="1:11">
      <c r="A7" s="10">
        <v>4</v>
      </c>
      <c r="B7" s="11" t="s">
        <v>18</v>
      </c>
      <c r="C7" s="11" t="s">
        <v>15</v>
      </c>
      <c r="D7" s="11">
        <v>11</v>
      </c>
      <c r="E7" s="11">
        <v>8</v>
      </c>
      <c r="F7" s="15">
        <v>57.9</v>
      </c>
      <c r="G7" s="12" t="s">
        <v>17</v>
      </c>
      <c r="I7" s="16" t="s">
        <v>19</v>
      </c>
      <c r="J7" s="17">
        <f>AVERAGE(F4:F7)</f>
        <v>84.199999999999989</v>
      </c>
    </row>
    <row r="9" spans="1:11">
      <c r="I9" s="1" t="s">
        <v>20</v>
      </c>
      <c r="J9" s="2" t="s">
        <v>2</v>
      </c>
      <c r="K9" s="3" t="s">
        <v>9</v>
      </c>
    </row>
    <row r="10" spans="1:11">
      <c r="I10" s="4" t="s">
        <v>10</v>
      </c>
      <c r="J10" s="5">
        <v>100</v>
      </c>
      <c r="K10" s="6">
        <v>75</v>
      </c>
    </row>
    <row r="11" spans="1:11">
      <c r="I11" s="7" t="s">
        <v>14</v>
      </c>
      <c r="J11" s="8">
        <v>94.7</v>
      </c>
      <c r="K11" s="9">
        <v>75</v>
      </c>
    </row>
    <row r="12" spans="1:11">
      <c r="I12" s="7" t="s">
        <v>16</v>
      </c>
      <c r="J12" s="8">
        <v>84.2</v>
      </c>
      <c r="K12" s="9">
        <v>75</v>
      </c>
    </row>
    <row r="13" spans="1:11">
      <c r="I13" s="10" t="s">
        <v>18</v>
      </c>
      <c r="J13" s="11">
        <v>57.9</v>
      </c>
      <c r="K13" s="12">
        <v>75</v>
      </c>
    </row>
  </sheetData>
  <mergeCells count="1">
    <mergeCell ref="A1:G1"/>
  </mergeCells>
  <conditionalFormatting sqref="F4:F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expression" dxfId="17" priority="1">
      <formula>G4="Lulus"</formula>
    </cfRule>
    <cfRule type="expression" dxfId="16" priority="2">
      <formula>G4="Belum Lulus"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opLeftCell="A3" workbookViewId="0">
      <selection activeCell="B7" sqref="B7"/>
    </sheetView>
  </sheetViews>
  <sheetFormatPr defaultRowHeight="13.8"/>
  <cols>
    <col min="1" max="1" width="7" customWidth="1"/>
    <col min="2" max="2" width="38" customWidth="1"/>
    <col min="3" max="4" width="34" customWidth="1"/>
    <col min="5" max="5" width="9" customWidth="1"/>
    <col min="6" max="6" width="14" customWidth="1"/>
    <col min="8" max="8" width="18" customWidth="1"/>
    <col min="9" max="9" width="12" customWidth="1"/>
  </cols>
  <sheetData>
    <row r="1" spans="1:9" ht="22.35" customHeight="1">
      <c r="A1" s="26" t="s">
        <v>21</v>
      </c>
      <c r="B1" s="26"/>
      <c r="C1" s="26"/>
      <c r="D1" s="26"/>
      <c r="E1" s="26"/>
      <c r="F1" s="26"/>
    </row>
    <row r="3" spans="1:9">
      <c r="A3" s="18" t="s">
        <v>20</v>
      </c>
      <c r="B3" s="6" t="s">
        <v>10</v>
      </c>
      <c r="D3" s="18" t="s">
        <v>6</v>
      </c>
      <c r="E3" s="6">
        <f>SUM(E11:E29)</f>
        <v>19</v>
      </c>
      <c r="H3" s="1" t="s">
        <v>22</v>
      </c>
      <c r="I3" s="3" t="s">
        <v>23</v>
      </c>
    </row>
    <row r="4" spans="1:9">
      <c r="A4" s="19" t="s">
        <v>5</v>
      </c>
      <c r="B4" s="9" t="s">
        <v>11</v>
      </c>
      <c r="D4" s="19" t="s">
        <v>7</v>
      </c>
      <c r="E4" s="9">
        <f>19-E3</f>
        <v>0</v>
      </c>
      <c r="H4" s="4" t="s">
        <v>6</v>
      </c>
      <c r="I4" s="6">
        <f>E3</f>
        <v>19</v>
      </c>
    </row>
    <row r="5" spans="1:9" ht="27.6">
      <c r="A5" s="19" t="s">
        <v>24</v>
      </c>
      <c r="B5" s="9">
        <v>19</v>
      </c>
      <c r="D5" s="19" t="s">
        <v>2</v>
      </c>
      <c r="E5" s="21">
        <f>E3/19*100</f>
        <v>100</v>
      </c>
      <c r="H5" s="10" t="s">
        <v>7</v>
      </c>
      <c r="I5" s="12">
        <f>E4</f>
        <v>0</v>
      </c>
    </row>
    <row r="6" spans="1:9">
      <c r="A6" s="19" t="s">
        <v>9</v>
      </c>
      <c r="B6" s="9">
        <v>75</v>
      </c>
      <c r="D6" s="19" t="s">
        <v>25</v>
      </c>
      <c r="E6" s="22">
        <f>E3/19</f>
        <v>1</v>
      </c>
    </row>
    <row r="7" spans="1:9">
      <c r="A7" s="20" t="s">
        <v>8</v>
      </c>
      <c r="B7" s="12" t="str">
        <f>IF(E5&gt;=B6,"Lulus","Belum Lulus")</f>
        <v>Lulus</v>
      </c>
      <c r="D7" s="20" t="s">
        <v>26</v>
      </c>
      <c r="E7" s="34" t="s">
        <v>27</v>
      </c>
      <c r="F7" s="34"/>
    </row>
    <row r="8" spans="1:9">
      <c r="H8" s="1" t="s">
        <v>28</v>
      </c>
      <c r="I8" s="3" t="s">
        <v>2</v>
      </c>
    </row>
    <row r="9" spans="1:9">
      <c r="H9" s="4" t="s">
        <v>29</v>
      </c>
      <c r="I9" s="6">
        <f>E5</f>
        <v>100</v>
      </c>
    </row>
    <row r="10" spans="1:9" ht="12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3" t="s">
        <v>35</v>
      </c>
      <c r="H10" s="10" t="s">
        <v>9</v>
      </c>
      <c r="I10" s="12">
        <v>75</v>
      </c>
    </row>
    <row r="11" spans="1:9" ht="27.6">
      <c r="A11" s="4">
        <v>1</v>
      </c>
      <c r="B11" s="5" t="s">
        <v>36</v>
      </c>
      <c r="C11" s="5" t="s">
        <v>37</v>
      </c>
      <c r="D11" s="5" t="s">
        <v>37</v>
      </c>
      <c r="E11" s="5">
        <f t="shared" ref="E11:E29" si="0">IF(C11=D11,1,0)</f>
        <v>1</v>
      </c>
      <c r="F11" s="6" t="str">
        <f t="shared" ref="F11:F29" si="1">IF(E11=1,"Benar","Salah")</f>
        <v>Benar</v>
      </c>
    </row>
    <row r="12" spans="1:9" ht="41.4">
      <c r="A12" s="7">
        <v>2</v>
      </c>
      <c r="B12" s="8" t="s">
        <v>38</v>
      </c>
      <c r="C12" s="8" t="s">
        <v>39</v>
      </c>
      <c r="D12" s="8" t="s">
        <v>39</v>
      </c>
      <c r="E12" s="8">
        <f t="shared" si="0"/>
        <v>1</v>
      </c>
      <c r="F12" s="9" t="str">
        <f t="shared" si="1"/>
        <v>Benar</v>
      </c>
    </row>
    <row r="13" spans="1:9" ht="27.6">
      <c r="A13" s="7">
        <v>3</v>
      </c>
      <c r="B13" s="8" t="s">
        <v>40</v>
      </c>
      <c r="C13" s="8" t="s">
        <v>41</v>
      </c>
      <c r="D13" s="8" t="s">
        <v>41</v>
      </c>
      <c r="E13" s="8">
        <f t="shared" si="0"/>
        <v>1</v>
      </c>
      <c r="F13" s="9" t="str">
        <f t="shared" si="1"/>
        <v>Benar</v>
      </c>
    </row>
    <row r="14" spans="1:9" ht="27.6">
      <c r="A14" s="7">
        <v>4</v>
      </c>
      <c r="B14" s="8" t="s">
        <v>42</v>
      </c>
      <c r="C14" s="8" t="s">
        <v>43</v>
      </c>
      <c r="D14" s="8" t="s">
        <v>43</v>
      </c>
      <c r="E14" s="8">
        <f t="shared" si="0"/>
        <v>1</v>
      </c>
      <c r="F14" s="9" t="str">
        <f t="shared" si="1"/>
        <v>Benar</v>
      </c>
    </row>
    <row r="15" spans="1:9" ht="27.6">
      <c r="A15" s="7">
        <v>5</v>
      </c>
      <c r="B15" s="8" t="s">
        <v>44</v>
      </c>
      <c r="C15" s="8" t="s">
        <v>45</v>
      </c>
      <c r="D15" s="8" t="s">
        <v>45</v>
      </c>
      <c r="E15" s="8">
        <f t="shared" si="0"/>
        <v>1</v>
      </c>
      <c r="F15" s="9" t="str">
        <f t="shared" si="1"/>
        <v>Benar</v>
      </c>
    </row>
    <row r="16" spans="1:9" ht="27.6">
      <c r="A16" s="7">
        <v>6</v>
      </c>
      <c r="B16" s="8" t="s">
        <v>46</v>
      </c>
      <c r="C16" s="8" t="s">
        <v>47</v>
      </c>
      <c r="D16" s="8" t="s">
        <v>47</v>
      </c>
      <c r="E16" s="8">
        <f t="shared" si="0"/>
        <v>1</v>
      </c>
      <c r="F16" s="9" t="str">
        <f t="shared" si="1"/>
        <v>Benar</v>
      </c>
    </row>
    <row r="17" spans="1:6" ht="27.6">
      <c r="A17" s="7">
        <v>7</v>
      </c>
      <c r="B17" s="8" t="s">
        <v>48</v>
      </c>
      <c r="C17" s="8" t="s">
        <v>49</v>
      </c>
      <c r="D17" s="8" t="s">
        <v>49</v>
      </c>
      <c r="E17" s="8">
        <f t="shared" si="0"/>
        <v>1</v>
      </c>
      <c r="F17" s="9" t="str">
        <f t="shared" si="1"/>
        <v>Benar</v>
      </c>
    </row>
    <row r="18" spans="1:6" ht="27.6">
      <c r="A18" s="7">
        <v>8</v>
      </c>
      <c r="B18" s="8" t="s">
        <v>50</v>
      </c>
      <c r="C18" s="8" t="s">
        <v>51</v>
      </c>
      <c r="D18" s="8" t="s">
        <v>51</v>
      </c>
      <c r="E18" s="8">
        <f t="shared" si="0"/>
        <v>1</v>
      </c>
      <c r="F18" s="9" t="str">
        <f t="shared" si="1"/>
        <v>Benar</v>
      </c>
    </row>
    <row r="19" spans="1:6" ht="27.6">
      <c r="A19" s="7">
        <v>9</v>
      </c>
      <c r="B19" s="8" t="s">
        <v>52</v>
      </c>
      <c r="C19" s="8" t="s">
        <v>53</v>
      </c>
      <c r="D19" s="8" t="s">
        <v>53</v>
      </c>
      <c r="E19" s="8">
        <f t="shared" si="0"/>
        <v>1</v>
      </c>
      <c r="F19" s="9" t="str">
        <f t="shared" si="1"/>
        <v>Benar</v>
      </c>
    </row>
    <row r="20" spans="1:6" ht="27.6">
      <c r="A20" s="7">
        <v>10</v>
      </c>
      <c r="B20" s="8" t="s">
        <v>54</v>
      </c>
      <c r="C20" s="8" t="s">
        <v>55</v>
      </c>
      <c r="D20" s="8" t="s">
        <v>55</v>
      </c>
      <c r="E20" s="8">
        <f t="shared" si="0"/>
        <v>1</v>
      </c>
      <c r="F20" s="9" t="str">
        <f t="shared" si="1"/>
        <v>Benar</v>
      </c>
    </row>
    <row r="21" spans="1:6">
      <c r="A21" s="7">
        <v>11</v>
      </c>
      <c r="B21" s="8" t="s">
        <v>56</v>
      </c>
      <c r="C21" s="8" t="s">
        <v>57</v>
      </c>
      <c r="D21" s="8" t="s">
        <v>57</v>
      </c>
      <c r="E21" s="8">
        <f t="shared" si="0"/>
        <v>1</v>
      </c>
      <c r="F21" s="9" t="str">
        <f t="shared" si="1"/>
        <v>Benar</v>
      </c>
    </row>
    <row r="22" spans="1:6" ht="27.6">
      <c r="A22" s="7">
        <v>12</v>
      </c>
      <c r="B22" s="8" t="s">
        <v>58</v>
      </c>
      <c r="C22" s="8" t="s">
        <v>59</v>
      </c>
      <c r="D22" s="8" t="s">
        <v>59</v>
      </c>
      <c r="E22" s="8">
        <f t="shared" si="0"/>
        <v>1</v>
      </c>
      <c r="F22" s="9" t="str">
        <f t="shared" si="1"/>
        <v>Benar</v>
      </c>
    </row>
    <row r="23" spans="1:6" ht="27.6">
      <c r="A23" s="7">
        <v>13</v>
      </c>
      <c r="B23" s="8" t="s">
        <v>60</v>
      </c>
      <c r="C23" s="8" t="s">
        <v>61</v>
      </c>
      <c r="D23" s="8" t="s">
        <v>61</v>
      </c>
      <c r="E23" s="8">
        <f t="shared" si="0"/>
        <v>1</v>
      </c>
      <c r="F23" s="9" t="str">
        <f t="shared" si="1"/>
        <v>Benar</v>
      </c>
    </row>
    <row r="24" spans="1:6" ht="27.6">
      <c r="A24" s="7">
        <v>14</v>
      </c>
      <c r="B24" s="8" t="s">
        <v>62</v>
      </c>
      <c r="C24" s="8" t="s">
        <v>63</v>
      </c>
      <c r="D24" s="8" t="s">
        <v>63</v>
      </c>
      <c r="E24" s="8">
        <f t="shared" si="0"/>
        <v>1</v>
      </c>
      <c r="F24" s="9" t="str">
        <f t="shared" si="1"/>
        <v>Benar</v>
      </c>
    </row>
    <row r="25" spans="1:6" ht="27.6">
      <c r="A25" s="7">
        <v>15</v>
      </c>
      <c r="B25" s="8" t="s">
        <v>64</v>
      </c>
      <c r="C25" s="8" t="s">
        <v>65</v>
      </c>
      <c r="D25" s="8" t="s">
        <v>65</v>
      </c>
      <c r="E25" s="8">
        <f t="shared" si="0"/>
        <v>1</v>
      </c>
      <c r="F25" s="9" t="str">
        <f t="shared" si="1"/>
        <v>Benar</v>
      </c>
    </row>
    <row r="26" spans="1:6" ht="27.6">
      <c r="A26" s="7">
        <v>16</v>
      </c>
      <c r="B26" s="8" t="s">
        <v>66</v>
      </c>
      <c r="C26" s="8" t="s">
        <v>67</v>
      </c>
      <c r="D26" s="8" t="s">
        <v>67</v>
      </c>
      <c r="E26" s="8">
        <f t="shared" si="0"/>
        <v>1</v>
      </c>
      <c r="F26" s="9" t="str">
        <f t="shared" si="1"/>
        <v>Benar</v>
      </c>
    </row>
    <row r="27" spans="1:6">
      <c r="A27" s="7">
        <v>17</v>
      </c>
      <c r="B27" s="8" t="s">
        <v>68</v>
      </c>
      <c r="C27" s="8" t="s">
        <v>69</v>
      </c>
      <c r="D27" s="8" t="s">
        <v>69</v>
      </c>
      <c r="E27" s="8">
        <f t="shared" si="0"/>
        <v>1</v>
      </c>
      <c r="F27" s="9" t="str">
        <f t="shared" si="1"/>
        <v>Benar</v>
      </c>
    </row>
    <row r="28" spans="1:6">
      <c r="A28" s="7">
        <v>18</v>
      </c>
      <c r="B28" s="8" t="s">
        <v>70</v>
      </c>
      <c r="C28" s="8" t="s">
        <v>71</v>
      </c>
      <c r="D28" s="8" t="s">
        <v>71</v>
      </c>
      <c r="E28" s="8">
        <f t="shared" si="0"/>
        <v>1</v>
      </c>
      <c r="F28" s="9" t="str">
        <f t="shared" si="1"/>
        <v>Benar</v>
      </c>
    </row>
    <row r="29" spans="1:6" ht="27.6">
      <c r="A29" s="10">
        <v>19</v>
      </c>
      <c r="B29" s="11" t="s">
        <v>72</v>
      </c>
      <c r="C29" s="11" t="s">
        <v>73</v>
      </c>
      <c r="D29" s="11" t="s">
        <v>73</v>
      </c>
      <c r="E29" s="11">
        <f t="shared" si="0"/>
        <v>1</v>
      </c>
      <c r="F29" s="12" t="str">
        <f t="shared" si="1"/>
        <v>Benar</v>
      </c>
    </row>
    <row r="32" spans="1:6" ht="16.8">
      <c r="A32" s="27" t="s">
        <v>74</v>
      </c>
      <c r="B32" s="27"/>
      <c r="C32" s="27"/>
      <c r="D32" s="27"/>
      <c r="E32" s="27"/>
      <c r="F32" s="27"/>
    </row>
    <row r="33" spans="1:6" ht="41.4">
      <c r="A33" s="23" t="s">
        <v>75</v>
      </c>
      <c r="B33" s="28" t="s">
        <v>76</v>
      </c>
      <c r="C33" s="28"/>
      <c r="D33" s="28"/>
      <c r="E33" s="28"/>
      <c r="F33" s="29"/>
    </row>
    <row r="34" spans="1:6" ht="27.6">
      <c r="A34" s="24" t="s">
        <v>77</v>
      </c>
      <c r="B34" s="30" t="s">
        <v>78</v>
      </c>
      <c r="C34" s="30"/>
      <c r="D34" s="30"/>
      <c r="E34" s="30"/>
      <c r="F34" s="31"/>
    </row>
  </sheetData>
  <mergeCells count="5">
    <mergeCell ref="A1:F1"/>
    <mergeCell ref="A32:F32"/>
    <mergeCell ref="B33:F33"/>
    <mergeCell ref="B34:F34"/>
    <mergeCell ref="E7:F7"/>
  </mergeCells>
  <conditionalFormatting sqref="B7">
    <cfRule type="expression" dxfId="15" priority="3">
      <formula>B7="Lulus"</formula>
    </cfRule>
    <cfRule type="expression" dxfId="14" priority="4">
      <formula>B7="Belum Lulus"</formula>
    </cfRule>
  </conditionalFormatting>
  <conditionalFormatting sqref="F11:F29">
    <cfRule type="expression" dxfId="13" priority="1">
      <formula>F11="Benar"</formula>
    </cfRule>
    <cfRule type="expression" dxfId="12" priority="2">
      <formula>F11="Salah"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C20" sqref="C20"/>
    </sheetView>
  </sheetViews>
  <sheetFormatPr defaultRowHeight="13.8"/>
  <cols>
    <col min="1" max="1" width="7" customWidth="1"/>
    <col min="2" max="2" width="38" customWidth="1"/>
    <col min="3" max="4" width="34" customWidth="1"/>
    <col min="5" max="5" width="9" customWidth="1"/>
    <col min="6" max="6" width="14" customWidth="1"/>
    <col min="8" max="8" width="18" customWidth="1"/>
    <col min="9" max="9" width="12" customWidth="1"/>
  </cols>
  <sheetData>
    <row r="1" spans="1:9" ht="22.35" customHeight="1">
      <c r="A1" s="26" t="s">
        <v>79</v>
      </c>
      <c r="B1" s="26"/>
      <c r="C1" s="26"/>
      <c r="D1" s="26"/>
      <c r="E1" s="26"/>
      <c r="F1" s="26"/>
    </row>
    <row r="3" spans="1:9">
      <c r="A3" s="18" t="s">
        <v>20</v>
      </c>
      <c r="B3" s="6" t="s">
        <v>14</v>
      </c>
      <c r="D3" s="18" t="s">
        <v>6</v>
      </c>
      <c r="E3" s="6">
        <f>SUM(E11:E29)</f>
        <v>18</v>
      </c>
      <c r="H3" s="1" t="s">
        <v>22</v>
      </c>
      <c r="I3" s="3" t="s">
        <v>23</v>
      </c>
    </row>
    <row r="4" spans="1:9">
      <c r="A4" s="19" t="s">
        <v>5</v>
      </c>
      <c r="B4" s="9" t="s">
        <v>15</v>
      </c>
      <c r="D4" s="19" t="s">
        <v>7</v>
      </c>
      <c r="E4" s="9">
        <f>19-E3</f>
        <v>1</v>
      </c>
      <c r="H4" s="4" t="s">
        <v>6</v>
      </c>
      <c r="I4" s="6">
        <f>E3</f>
        <v>18</v>
      </c>
    </row>
    <row r="5" spans="1:9" ht="27.6">
      <c r="A5" s="19" t="s">
        <v>24</v>
      </c>
      <c r="B5" s="9">
        <v>19</v>
      </c>
      <c r="D5" s="19" t="s">
        <v>2</v>
      </c>
      <c r="E5" s="21">
        <f>E3/19*100</f>
        <v>94.73684210526315</v>
      </c>
      <c r="H5" s="10" t="s">
        <v>7</v>
      </c>
      <c r="I5" s="12">
        <f>E4</f>
        <v>1</v>
      </c>
    </row>
    <row r="6" spans="1:9">
      <c r="A6" s="19" t="s">
        <v>9</v>
      </c>
      <c r="B6" s="9">
        <v>75</v>
      </c>
      <c r="D6" s="19" t="s">
        <v>25</v>
      </c>
      <c r="E6" s="22">
        <f>E3/19</f>
        <v>0.94736842105263153</v>
      </c>
    </row>
    <row r="7" spans="1:9">
      <c r="A7" s="20" t="s">
        <v>8</v>
      </c>
      <c r="B7" s="12" t="str">
        <f>IF(E5&gt;=B6,"Lulus","Belum Lulus")</f>
        <v>Lulus</v>
      </c>
      <c r="D7" s="20" t="s">
        <v>26</v>
      </c>
      <c r="E7" s="34" t="s">
        <v>27</v>
      </c>
      <c r="F7" s="34"/>
    </row>
    <row r="8" spans="1:9">
      <c r="H8" s="1" t="s">
        <v>28</v>
      </c>
      <c r="I8" s="3" t="s">
        <v>2</v>
      </c>
    </row>
    <row r="9" spans="1:9">
      <c r="H9" s="4" t="s">
        <v>29</v>
      </c>
      <c r="I9" s="6">
        <f>E5</f>
        <v>94.73684210526315</v>
      </c>
    </row>
    <row r="10" spans="1:9" ht="12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3" t="s">
        <v>35</v>
      </c>
      <c r="H10" s="10" t="s">
        <v>9</v>
      </c>
      <c r="I10" s="12">
        <v>75</v>
      </c>
    </row>
    <row r="11" spans="1:9" ht="27.6">
      <c r="A11" s="4">
        <v>1</v>
      </c>
      <c r="B11" s="5" t="s">
        <v>36</v>
      </c>
      <c r="C11" s="5" t="s">
        <v>37</v>
      </c>
      <c r="D11" s="5" t="s">
        <v>37</v>
      </c>
      <c r="E11" s="5">
        <f t="shared" ref="E11:E29" si="0">IF(C11=D11,1,0)</f>
        <v>1</v>
      </c>
      <c r="F11" s="6" t="str">
        <f t="shared" ref="F11:F29" si="1">IF(E11=1,"Benar","Salah")</f>
        <v>Benar</v>
      </c>
    </row>
    <row r="12" spans="1:9" ht="41.4">
      <c r="A12" s="7">
        <v>2</v>
      </c>
      <c r="B12" s="8" t="s">
        <v>38</v>
      </c>
      <c r="C12" s="8" t="s">
        <v>39</v>
      </c>
      <c r="D12" s="8" t="s">
        <v>39</v>
      </c>
      <c r="E12" s="8">
        <f t="shared" si="0"/>
        <v>1</v>
      </c>
      <c r="F12" s="9" t="str">
        <f t="shared" si="1"/>
        <v>Benar</v>
      </c>
    </row>
    <row r="13" spans="1:9" ht="27.6">
      <c r="A13" s="7">
        <v>3</v>
      </c>
      <c r="B13" s="8" t="s">
        <v>40</v>
      </c>
      <c r="C13" s="8" t="s">
        <v>41</v>
      </c>
      <c r="D13" s="8" t="s">
        <v>41</v>
      </c>
      <c r="E13" s="8">
        <f t="shared" si="0"/>
        <v>1</v>
      </c>
      <c r="F13" s="9" t="str">
        <f t="shared" si="1"/>
        <v>Benar</v>
      </c>
    </row>
    <row r="14" spans="1:9" ht="27.6">
      <c r="A14" s="7">
        <v>4</v>
      </c>
      <c r="B14" s="8" t="s">
        <v>42</v>
      </c>
      <c r="C14" s="8" t="s">
        <v>43</v>
      </c>
      <c r="D14" s="8" t="s">
        <v>43</v>
      </c>
      <c r="E14" s="8">
        <f t="shared" si="0"/>
        <v>1</v>
      </c>
      <c r="F14" s="9" t="str">
        <f t="shared" si="1"/>
        <v>Benar</v>
      </c>
    </row>
    <row r="15" spans="1:9" ht="27.6">
      <c r="A15" s="7">
        <v>5</v>
      </c>
      <c r="B15" s="8" t="s">
        <v>44</v>
      </c>
      <c r="C15" s="8" t="s">
        <v>45</v>
      </c>
      <c r="D15" s="8" t="s">
        <v>45</v>
      </c>
      <c r="E15" s="8">
        <f t="shared" si="0"/>
        <v>1</v>
      </c>
      <c r="F15" s="9" t="str">
        <f t="shared" si="1"/>
        <v>Benar</v>
      </c>
    </row>
    <row r="16" spans="1:9" ht="27.6">
      <c r="A16" s="7">
        <v>6</v>
      </c>
      <c r="B16" s="8" t="s">
        <v>46</v>
      </c>
      <c r="C16" s="8" t="s">
        <v>47</v>
      </c>
      <c r="D16" s="8" t="s">
        <v>47</v>
      </c>
      <c r="E16" s="8">
        <f t="shared" si="0"/>
        <v>1</v>
      </c>
      <c r="F16" s="9" t="str">
        <f t="shared" si="1"/>
        <v>Benar</v>
      </c>
    </row>
    <row r="17" spans="1:6" ht="27.6">
      <c r="A17" s="7">
        <v>7</v>
      </c>
      <c r="B17" s="8" t="s">
        <v>48</v>
      </c>
      <c r="C17" s="8" t="s">
        <v>49</v>
      </c>
      <c r="D17" s="8" t="s">
        <v>49</v>
      </c>
      <c r="E17" s="8">
        <f t="shared" si="0"/>
        <v>1</v>
      </c>
      <c r="F17" s="9" t="str">
        <f t="shared" si="1"/>
        <v>Benar</v>
      </c>
    </row>
    <row r="18" spans="1:6" ht="27.6">
      <c r="A18" s="7">
        <v>8</v>
      </c>
      <c r="B18" s="8" t="s">
        <v>50</v>
      </c>
      <c r="C18" s="8" t="s">
        <v>51</v>
      </c>
      <c r="D18" s="8" t="s">
        <v>51</v>
      </c>
      <c r="E18" s="8">
        <f t="shared" si="0"/>
        <v>1</v>
      </c>
      <c r="F18" s="9" t="str">
        <f t="shared" si="1"/>
        <v>Benar</v>
      </c>
    </row>
    <row r="19" spans="1:6" ht="27.6">
      <c r="A19" s="7">
        <v>9</v>
      </c>
      <c r="B19" s="8" t="s">
        <v>52</v>
      </c>
      <c r="C19" s="8" t="s">
        <v>53</v>
      </c>
      <c r="D19" s="8" t="s">
        <v>53</v>
      </c>
      <c r="E19" s="8">
        <f t="shared" si="0"/>
        <v>1</v>
      </c>
      <c r="F19" s="9" t="str">
        <f t="shared" si="1"/>
        <v>Benar</v>
      </c>
    </row>
    <row r="20" spans="1:6" ht="27.6">
      <c r="A20" s="7">
        <v>10</v>
      </c>
      <c r="B20" s="8" t="s">
        <v>54</v>
      </c>
      <c r="C20" s="8" t="s">
        <v>55</v>
      </c>
      <c r="D20" s="8" t="s">
        <v>55</v>
      </c>
      <c r="E20" s="8">
        <f t="shared" si="0"/>
        <v>1</v>
      </c>
      <c r="F20" s="9" t="str">
        <f t="shared" si="1"/>
        <v>Benar</v>
      </c>
    </row>
    <row r="21" spans="1:6">
      <c r="A21" s="7">
        <v>11</v>
      </c>
      <c r="B21" s="8" t="s">
        <v>56</v>
      </c>
      <c r="C21" s="8" t="s">
        <v>57</v>
      </c>
      <c r="D21" s="8" t="s">
        <v>57</v>
      </c>
      <c r="E21" s="8">
        <f t="shared" si="0"/>
        <v>1</v>
      </c>
      <c r="F21" s="9" t="str">
        <f t="shared" si="1"/>
        <v>Benar</v>
      </c>
    </row>
    <row r="22" spans="1:6" ht="27.6">
      <c r="A22" s="7">
        <v>12</v>
      </c>
      <c r="B22" s="8" t="s">
        <v>58</v>
      </c>
      <c r="C22" s="8" t="s">
        <v>59</v>
      </c>
      <c r="D22" s="8" t="s">
        <v>59</v>
      </c>
      <c r="E22" s="8">
        <f t="shared" si="0"/>
        <v>1</v>
      </c>
      <c r="F22" s="9" t="str">
        <f t="shared" si="1"/>
        <v>Benar</v>
      </c>
    </row>
    <row r="23" spans="1:6" ht="27.6">
      <c r="A23" s="7">
        <v>13</v>
      </c>
      <c r="B23" s="8" t="s">
        <v>60</v>
      </c>
      <c r="C23" s="8" t="s">
        <v>61</v>
      </c>
      <c r="D23" s="8" t="s">
        <v>61</v>
      </c>
      <c r="E23" s="8">
        <f t="shared" si="0"/>
        <v>1</v>
      </c>
      <c r="F23" s="9" t="str">
        <f t="shared" si="1"/>
        <v>Benar</v>
      </c>
    </row>
    <row r="24" spans="1:6" ht="27.6">
      <c r="A24" s="7">
        <v>14</v>
      </c>
      <c r="B24" s="8" t="s">
        <v>62</v>
      </c>
      <c r="C24" s="8" t="s">
        <v>63</v>
      </c>
      <c r="D24" s="8" t="s">
        <v>63</v>
      </c>
      <c r="E24" s="8">
        <f t="shared" si="0"/>
        <v>1</v>
      </c>
      <c r="F24" s="9" t="str">
        <f t="shared" si="1"/>
        <v>Benar</v>
      </c>
    </row>
    <row r="25" spans="1:6" ht="27.6">
      <c r="A25" s="7">
        <v>15</v>
      </c>
      <c r="B25" s="8" t="s">
        <v>64</v>
      </c>
      <c r="C25" s="8" t="s">
        <v>65</v>
      </c>
      <c r="D25" s="8" t="s">
        <v>65</v>
      </c>
      <c r="E25" s="8">
        <f t="shared" si="0"/>
        <v>1</v>
      </c>
      <c r="F25" s="9" t="str">
        <f t="shared" si="1"/>
        <v>Benar</v>
      </c>
    </row>
    <row r="26" spans="1:6" ht="27.6">
      <c r="A26" s="7">
        <v>16</v>
      </c>
      <c r="B26" s="8" t="s">
        <v>66</v>
      </c>
      <c r="C26" s="8" t="s">
        <v>67</v>
      </c>
      <c r="D26" s="8" t="s">
        <v>67</v>
      </c>
      <c r="E26" s="8">
        <f t="shared" si="0"/>
        <v>1</v>
      </c>
      <c r="F26" s="9" t="str">
        <f t="shared" si="1"/>
        <v>Benar</v>
      </c>
    </row>
    <row r="27" spans="1:6">
      <c r="A27" s="7">
        <v>17</v>
      </c>
      <c r="B27" s="8" t="s">
        <v>68</v>
      </c>
      <c r="C27" s="8" t="s">
        <v>69</v>
      </c>
      <c r="D27" s="8" t="s">
        <v>69</v>
      </c>
      <c r="E27" s="8">
        <f t="shared" si="0"/>
        <v>1</v>
      </c>
      <c r="F27" s="9" t="str">
        <f t="shared" si="1"/>
        <v>Benar</v>
      </c>
    </row>
    <row r="28" spans="1:6">
      <c r="A28" s="7">
        <v>18</v>
      </c>
      <c r="B28" s="8" t="s">
        <v>70</v>
      </c>
      <c r="C28" s="8" t="s">
        <v>71</v>
      </c>
      <c r="D28" s="8" t="s">
        <v>71</v>
      </c>
      <c r="E28" s="8">
        <f t="shared" si="0"/>
        <v>1</v>
      </c>
      <c r="F28" s="9" t="str">
        <f t="shared" si="1"/>
        <v>Benar</v>
      </c>
    </row>
    <row r="29" spans="1:6" ht="27.6">
      <c r="A29" s="10">
        <v>19</v>
      </c>
      <c r="B29" s="11" t="s">
        <v>72</v>
      </c>
      <c r="C29" s="11" t="s">
        <v>80</v>
      </c>
      <c r="D29" s="11" t="s">
        <v>73</v>
      </c>
      <c r="E29" s="11">
        <f t="shared" si="0"/>
        <v>0</v>
      </c>
      <c r="F29" s="12" t="str">
        <f t="shared" si="1"/>
        <v>Salah</v>
      </c>
    </row>
    <row r="32" spans="1:6" ht="16.8">
      <c r="A32" s="27" t="s">
        <v>74</v>
      </c>
      <c r="B32" s="27"/>
      <c r="C32" s="27"/>
      <c r="D32" s="27"/>
      <c r="E32" s="27"/>
      <c r="F32" s="27"/>
    </row>
    <row r="33" spans="1:6" ht="69">
      <c r="A33" s="23" t="s">
        <v>81</v>
      </c>
      <c r="B33" s="28" t="s">
        <v>82</v>
      </c>
      <c r="C33" s="28"/>
      <c r="D33" s="28"/>
      <c r="E33" s="28"/>
      <c r="F33" s="29"/>
    </row>
    <row r="34" spans="1:6" ht="41.4">
      <c r="A34" s="25" t="s">
        <v>83</v>
      </c>
      <c r="B34" s="32" t="s">
        <v>84</v>
      </c>
      <c r="C34" s="32"/>
      <c r="D34" s="32"/>
      <c r="E34" s="32"/>
      <c r="F34" s="33"/>
    </row>
    <row r="35" spans="1:6" ht="27.6">
      <c r="A35" s="24" t="s">
        <v>77</v>
      </c>
      <c r="B35" s="30" t="s">
        <v>85</v>
      </c>
      <c r="C35" s="30"/>
      <c r="D35" s="30"/>
      <c r="E35" s="30"/>
      <c r="F35" s="31"/>
    </row>
  </sheetData>
  <mergeCells count="6">
    <mergeCell ref="A1:F1"/>
    <mergeCell ref="A32:F32"/>
    <mergeCell ref="B33:F33"/>
    <mergeCell ref="B34:F34"/>
    <mergeCell ref="B35:F35"/>
    <mergeCell ref="E7:F7"/>
  </mergeCells>
  <conditionalFormatting sqref="B7">
    <cfRule type="expression" dxfId="11" priority="3">
      <formula>B7="Lulus"</formula>
    </cfRule>
    <cfRule type="expression" dxfId="10" priority="4">
      <formula>B7="Belum Lulus"</formula>
    </cfRule>
  </conditionalFormatting>
  <conditionalFormatting sqref="F11:F29">
    <cfRule type="expression" dxfId="9" priority="1">
      <formula>F11="Benar"</formula>
    </cfRule>
    <cfRule type="expression" dxfId="8" priority="2">
      <formula>F11="Salah"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opLeftCell="A24" workbookViewId="0">
      <selection activeCell="B21" sqref="B21"/>
    </sheetView>
  </sheetViews>
  <sheetFormatPr defaultRowHeight="13.8"/>
  <cols>
    <col min="1" max="1" width="7" customWidth="1"/>
    <col min="2" max="2" width="38" customWidth="1"/>
    <col min="3" max="4" width="34" customWidth="1"/>
    <col min="5" max="5" width="9" customWidth="1"/>
    <col min="6" max="6" width="14" customWidth="1"/>
    <col min="8" max="8" width="18" customWidth="1"/>
    <col min="9" max="9" width="12" customWidth="1"/>
  </cols>
  <sheetData>
    <row r="1" spans="1:9" ht="22.35" customHeight="1">
      <c r="A1" s="26" t="s">
        <v>86</v>
      </c>
      <c r="B1" s="26"/>
      <c r="C1" s="26"/>
      <c r="D1" s="26"/>
      <c r="E1" s="26"/>
      <c r="F1" s="26"/>
    </row>
    <row r="3" spans="1:9">
      <c r="A3" s="18" t="s">
        <v>20</v>
      </c>
      <c r="B3" s="6" t="s">
        <v>16</v>
      </c>
      <c r="D3" s="18" t="s">
        <v>6</v>
      </c>
      <c r="E3" s="6">
        <f>SUM(E11:E29)</f>
        <v>16</v>
      </c>
      <c r="H3" s="1" t="s">
        <v>22</v>
      </c>
      <c r="I3" s="3" t="s">
        <v>23</v>
      </c>
    </row>
    <row r="4" spans="1:9">
      <c r="A4" s="19" t="s">
        <v>5</v>
      </c>
      <c r="B4" s="9" t="s">
        <v>15</v>
      </c>
      <c r="D4" s="19" t="s">
        <v>7</v>
      </c>
      <c r="E4" s="9">
        <f>19-E3</f>
        <v>3</v>
      </c>
      <c r="H4" s="4" t="s">
        <v>6</v>
      </c>
      <c r="I4" s="6">
        <f>E3</f>
        <v>16</v>
      </c>
    </row>
    <row r="5" spans="1:9" ht="27.6">
      <c r="A5" s="19" t="s">
        <v>24</v>
      </c>
      <c r="B5" s="9">
        <v>19</v>
      </c>
      <c r="D5" s="19" t="s">
        <v>2</v>
      </c>
      <c r="E5" s="21">
        <f>E3/19*100</f>
        <v>84.210526315789465</v>
      </c>
      <c r="H5" s="10" t="s">
        <v>7</v>
      </c>
      <c r="I5" s="12">
        <f>E4</f>
        <v>3</v>
      </c>
    </row>
    <row r="6" spans="1:9">
      <c r="A6" s="19" t="s">
        <v>9</v>
      </c>
      <c r="B6" s="9">
        <v>75</v>
      </c>
      <c r="D6" s="19" t="s">
        <v>25</v>
      </c>
      <c r="E6" s="22">
        <f>E3/19</f>
        <v>0.84210526315789469</v>
      </c>
    </row>
    <row r="7" spans="1:9">
      <c r="A7" s="20" t="s">
        <v>8</v>
      </c>
      <c r="B7" s="12" t="str">
        <f>IF(E5&gt;=B6,"Lulus","Belum Lulus")</f>
        <v>Lulus</v>
      </c>
      <c r="D7" s="20" t="s">
        <v>26</v>
      </c>
      <c r="E7" s="34" t="s">
        <v>27</v>
      </c>
      <c r="F7" s="34"/>
    </row>
    <row r="8" spans="1:9">
      <c r="H8" s="1" t="s">
        <v>28</v>
      </c>
      <c r="I8" s="3" t="s">
        <v>2</v>
      </c>
    </row>
    <row r="9" spans="1:9">
      <c r="H9" s="4" t="s">
        <v>29</v>
      </c>
      <c r="I9" s="6">
        <f>E5</f>
        <v>84.210526315789465</v>
      </c>
    </row>
    <row r="10" spans="1:9" ht="12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3" t="s">
        <v>35</v>
      </c>
      <c r="H10" s="10" t="s">
        <v>9</v>
      </c>
      <c r="I10" s="12">
        <v>75</v>
      </c>
    </row>
    <row r="11" spans="1:9" ht="27.6">
      <c r="A11" s="4">
        <v>1</v>
      </c>
      <c r="B11" s="5" t="s">
        <v>36</v>
      </c>
      <c r="C11" s="5" t="s">
        <v>37</v>
      </c>
      <c r="D11" s="5" t="s">
        <v>37</v>
      </c>
      <c r="E11" s="5">
        <f t="shared" ref="E11:E29" si="0">IF(C11=D11,1,0)</f>
        <v>1</v>
      </c>
      <c r="F11" s="6" t="str">
        <f t="shared" ref="F11:F29" si="1">IF(E11=1,"Benar","Salah")</f>
        <v>Benar</v>
      </c>
    </row>
    <row r="12" spans="1:9" ht="41.4">
      <c r="A12" s="7">
        <v>2</v>
      </c>
      <c r="B12" s="8" t="s">
        <v>38</v>
      </c>
      <c r="C12" s="8" t="s">
        <v>39</v>
      </c>
      <c r="D12" s="8" t="s">
        <v>39</v>
      </c>
      <c r="E12" s="8">
        <f t="shared" si="0"/>
        <v>1</v>
      </c>
      <c r="F12" s="9" t="str">
        <f t="shared" si="1"/>
        <v>Benar</v>
      </c>
    </row>
    <row r="13" spans="1:9" ht="27.6">
      <c r="A13" s="7">
        <v>3</v>
      </c>
      <c r="B13" s="8" t="s">
        <v>40</v>
      </c>
      <c r="C13" s="8" t="s">
        <v>41</v>
      </c>
      <c r="D13" s="8" t="s">
        <v>41</v>
      </c>
      <c r="E13" s="8">
        <f t="shared" si="0"/>
        <v>1</v>
      </c>
      <c r="F13" s="9" t="str">
        <f t="shared" si="1"/>
        <v>Benar</v>
      </c>
    </row>
    <row r="14" spans="1:9" ht="27.6">
      <c r="A14" s="7">
        <v>4</v>
      </c>
      <c r="B14" s="8" t="s">
        <v>42</v>
      </c>
      <c r="C14" s="8" t="s">
        <v>43</v>
      </c>
      <c r="D14" s="8" t="s">
        <v>43</v>
      </c>
      <c r="E14" s="8">
        <f t="shared" si="0"/>
        <v>1</v>
      </c>
      <c r="F14" s="9" t="str">
        <f t="shared" si="1"/>
        <v>Benar</v>
      </c>
    </row>
    <row r="15" spans="1:9" ht="27.6">
      <c r="A15" s="7">
        <v>5</v>
      </c>
      <c r="B15" s="8" t="s">
        <v>44</v>
      </c>
      <c r="C15" s="8" t="s">
        <v>45</v>
      </c>
      <c r="D15" s="8" t="s">
        <v>45</v>
      </c>
      <c r="E15" s="8">
        <f t="shared" si="0"/>
        <v>1</v>
      </c>
      <c r="F15" s="9" t="str">
        <f t="shared" si="1"/>
        <v>Benar</v>
      </c>
    </row>
    <row r="16" spans="1:9" ht="27.6">
      <c r="A16" s="7">
        <v>6</v>
      </c>
      <c r="B16" s="8" t="s">
        <v>46</v>
      </c>
      <c r="C16" s="8" t="s">
        <v>47</v>
      </c>
      <c r="D16" s="8" t="s">
        <v>47</v>
      </c>
      <c r="E16" s="8">
        <f t="shared" si="0"/>
        <v>1</v>
      </c>
      <c r="F16" s="9" t="str">
        <f t="shared" si="1"/>
        <v>Benar</v>
      </c>
    </row>
    <row r="17" spans="1:6" ht="27.6">
      <c r="A17" s="7">
        <v>7</v>
      </c>
      <c r="B17" s="8" t="s">
        <v>48</v>
      </c>
      <c r="C17" s="8" t="s">
        <v>49</v>
      </c>
      <c r="D17" s="8" t="s">
        <v>49</v>
      </c>
      <c r="E17" s="8">
        <f t="shared" si="0"/>
        <v>1</v>
      </c>
      <c r="F17" s="9" t="str">
        <f t="shared" si="1"/>
        <v>Benar</v>
      </c>
    </row>
    <row r="18" spans="1:6" ht="27.6">
      <c r="A18" s="7">
        <v>8</v>
      </c>
      <c r="B18" s="8" t="s">
        <v>50</v>
      </c>
      <c r="C18" s="8" t="s">
        <v>51</v>
      </c>
      <c r="D18" s="8" t="s">
        <v>51</v>
      </c>
      <c r="E18" s="8">
        <f t="shared" si="0"/>
        <v>1</v>
      </c>
      <c r="F18" s="9" t="str">
        <f t="shared" si="1"/>
        <v>Benar</v>
      </c>
    </row>
    <row r="19" spans="1:6" ht="27.6">
      <c r="A19" s="7">
        <v>9</v>
      </c>
      <c r="B19" s="8" t="s">
        <v>52</v>
      </c>
      <c r="C19" s="8" t="s">
        <v>87</v>
      </c>
      <c r="D19" s="8" t="s">
        <v>53</v>
      </c>
      <c r="E19" s="8">
        <f t="shared" si="0"/>
        <v>0</v>
      </c>
      <c r="F19" s="9" t="str">
        <f t="shared" si="1"/>
        <v>Salah</v>
      </c>
    </row>
    <row r="20" spans="1:6" ht="27.6">
      <c r="A20" s="7">
        <v>10</v>
      </c>
      <c r="B20" s="8" t="s">
        <v>54</v>
      </c>
      <c r="C20" s="8" t="s">
        <v>88</v>
      </c>
      <c r="D20" s="8" t="s">
        <v>55</v>
      </c>
      <c r="E20" s="8">
        <f t="shared" si="0"/>
        <v>0</v>
      </c>
      <c r="F20" s="9" t="str">
        <f t="shared" si="1"/>
        <v>Salah</v>
      </c>
    </row>
    <row r="21" spans="1:6">
      <c r="A21" s="7">
        <v>11</v>
      </c>
      <c r="B21" s="8" t="s">
        <v>56</v>
      </c>
      <c r="C21" s="8" t="s">
        <v>57</v>
      </c>
      <c r="D21" s="8" t="s">
        <v>57</v>
      </c>
      <c r="E21" s="8">
        <f t="shared" si="0"/>
        <v>1</v>
      </c>
      <c r="F21" s="9" t="str">
        <f t="shared" si="1"/>
        <v>Benar</v>
      </c>
    </row>
    <row r="22" spans="1:6" ht="27.6">
      <c r="A22" s="7">
        <v>12</v>
      </c>
      <c r="B22" s="8" t="s">
        <v>58</v>
      </c>
      <c r="C22" s="8" t="s">
        <v>59</v>
      </c>
      <c r="D22" s="8" t="s">
        <v>59</v>
      </c>
      <c r="E22" s="8">
        <f t="shared" si="0"/>
        <v>1</v>
      </c>
      <c r="F22" s="9" t="str">
        <f t="shared" si="1"/>
        <v>Benar</v>
      </c>
    </row>
    <row r="23" spans="1:6" ht="27.6">
      <c r="A23" s="7">
        <v>13</v>
      </c>
      <c r="B23" s="8" t="s">
        <v>60</v>
      </c>
      <c r="C23" s="8" t="s">
        <v>61</v>
      </c>
      <c r="D23" s="8" t="s">
        <v>61</v>
      </c>
      <c r="E23" s="8">
        <f t="shared" si="0"/>
        <v>1</v>
      </c>
      <c r="F23" s="9" t="str">
        <f t="shared" si="1"/>
        <v>Benar</v>
      </c>
    </row>
    <row r="24" spans="1:6" ht="27.6">
      <c r="A24" s="7">
        <v>14</v>
      </c>
      <c r="B24" s="8" t="s">
        <v>62</v>
      </c>
      <c r="C24" s="8" t="s">
        <v>63</v>
      </c>
      <c r="D24" s="8" t="s">
        <v>63</v>
      </c>
      <c r="E24" s="8">
        <f t="shared" si="0"/>
        <v>1</v>
      </c>
      <c r="F24" s="9" t="str">
        <f t="shared" si="1"/>
        <v>Benar</v>
      </c>
    </row>
    <row r="25" spans="1:6" ht="27.6">
      <c r="A25" s="7">
        <v>15</v>
      </c>
      <c r="B25" s="8" t="s">
        <v>64</v>
      </c>
      <c r="C25" s="8" t="s">
        <v>65</v>
      </c>
      <c r="D25" s="8" t="s">
        <v>65</v>
      </c>
      <c r="E25" s="8">
        <f t="shared" si="0"/>
        <v>1</v>
      </c>
      <c r="F25" s="9" t="str">
        <f t="shared" si="1"/>
        <v>Benar</v>
      </c>
    </row>
    <row r="26" spans="1:6" ht="27.6">
      <c r="A26" s="7">
        <v>16</v>
      </c>
      <c r="B26" s="8" t="s">
        <v>66</v>
      </c>
      <c r="C26" s="8" t="s">
        <v>69</v>
      </c>
      <c r="D26" s="8" t="s">
        <v>67</v>
      </c>
      <c r="E26" s="8">
        <f t="shared" si="0"/>
        <v>0</v>
      </c>
      <c r="F26" s="9" t="str">
        <f t="shared" si="1"/>
        <v>Salah</v>
      </c>
    </row>
    <row r="27" spans="1:6">
      <c r="A27" s="7">
        <v>17</v>
      </c>
      <c r="B27" s="8" t="s">
        <v>68</v>
      </c>
      <c r="C27" s="8" t="s">
        <v>69</v>
      </c>
      <c r="D27" s="8" t="s">
        <v>69</v>
      </c>
      <c r="E27" s="8">
        <f t="shared" si="0"/>
        <v>1</v>
      </c>
      <c r="F27" s="9" t="str">
        <f t="shared" si="1"/>
        <v>Benar</v>
      </c>
    </row>
    <row r="28" spans="1:6">
      <c r="A28" s="7">
        <v>18</v>
      </c>
      <c r="B28" s="8" t="s">
        <v>70</v>
      </c>
      <c r="C28" s="8" t="s">
        <v>71</v>
      </c>
      <c r="D28" s="8" t="s">
        <v>71</v>
      </c>
      <c r="E28" s="8">
        <f t="shared" si="0"/>
        <v>1</v>
      </c>
      <c r="F28" s="9" t="str">
        <f t="shared" si="1"/>
        <v>Benar</v>
      </c>
    </row>
    <row r="29" spans="1:6" ht="27.6">
      <c r="A29" s="10">
        <v>19</v>
      </c>
      <c r="B29" s="11" t="s">
        <v>72</v>
      </c>
      <c r="C29" s="11" t="s">
        <v>73</v>
      </c>
      <c r="D29" s="11" t="s">
        <v>73</v>
      </c>
      <c r="E29" s="11">
        <f t="shared" si="0"/>
        <v>1</v>
      </c>
      <c r="F29" s="12" t="str">
        <f t="shared" si="1"/>
        <v>Benar</v>
      </c>
    </row>
    <row r="32" spans="1:6" ht="16.8">
      <c r="A32" s="27" t="s">
        <v>74</v>
      </c>
      <c r="B32" s="27"/>
      <c r="C32" s="27"/>
      <c r="D32" s="27"/>
      <c r="E32" s="27"/>
      <c r="F32" s="27"/>
    </row>
    <row r="33" spans="1:6" ht="41.4">
      <c r="A33" s="23" t="s">
        <v>89</v>
      </c>
      <c r="B33" s="28" t="s">
        <v>90</v>
      </c>
      <c r="C33" s="28"/>
      <c r="D33" s="28"/>
      <c r="E33" s="28"/>
      <c r="F33" s="29"/>
    </row>
    <row r="34" spans="1:6" ht="41.4">
      <c r="A34" s="25" t="s">
        <v>91</v>
      </c>
      <c r="B34" s="32" t="s">
        <v>92</v>
      </c>
      <c r="C34" s="32"/>
      <c r="D34" s="32"/>
      <c r="E34" s="32"/>
      <c r="F34" s="33"/>
    </row>
    <row r="35" spans="1:6" ht="55.2">
      <c r="A35" s="25" t="s">
        <v>93</v>
      </c>
      <c r="B35" s="32" t="s">
        <v>94</v>
      </c>
      <c r="C35" s="32"/>
      <c r="D35" s="32"/>
      <c r="E35" s="32"/>
      <c r="F35" s="33"/>
    </row>
    <row r="36" spans="1:6" ht="27.6">
      <c r="A36" s="24" t="s">
        <v>77</v>
      </c>
      <c r="B36" s="30" t="s">
        <v>95</v>
      </c>
      <c r="C36" s="30"/>
      <c r="D36" s="30"/>
      <c r="E36" s="30"/>
      <c r="F36" s="31"/>
    </row>
  </sheetData>
  <mergeCells count="7">
    <mergeCell ref="B36:F36"/>
    <mergeCell ref="E7:F7"/>
    <mergeCell ref="A1:F1"/>
    <mergeCell ref="A32:F32"/>
    <mergeCell ref="B33:F33"/>
    <mergeCell ref="B34:F34"/>
    <mergeCell ref="B35:F35"/>
  </mergeCells>
  <conditionalFormatting sqref="B7">
    <cfRule type="expression" dxfId="7" priority="3">
      <formula>B7="Lulus"</formula>
    </cfRule>
    <cfRule type="expression" dxfId="6" priority="4">
      <formula>B7="Belum Lulus"</formula>
    </cfRule>
  </conditionalFormatting>
  <conditionalFormatting sqref="F11:F29">
    <cfRule type="expression" dxfId="5" priority="1">
      <formula>F11="Benar"</formula>
    </cfRule>
    <cfRule type="expression" dxfId="4" priority="2">
      <formula>F11="Salah"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topLeftCell="A18" workbookViewId="0">
      <selection activeCell="B22" sqref="B22"/>
    </sheetView>
  </sheetViews>
  <sheetFormatPr defaultRowHeight="13.8"/>
  <cols>
    <col min="1" max="1" width="7" customWidth="1"/>
    <col min="2" max="2" width="38" customWidth="1"/>
    <col min="3" max="4" width="34" customWidth="1"/>
    <col min="5" max="5" width="9" customWidth="1"/>
    <col min="6" max="6" width="14" customWidth="1"/>
    <col min="8" max="8" width="18" customWidth="1"/>
    <col min="9" max="9" width="12" customWidth="1"/>
  </cols>
  <sheetData>
    <row r="1" spans="1:9" ht="22.35" customHeight="1">
      <c r="A1" s="26" t="s">
        <v>96</v>
      </c>
      <c r="B1" s="26"/>
      <c r="C1" s="26"/>
      <c r="D1" s="26"/>
      <c r="E1" s="26"/>
      <c r="F1" s="26"/>
    </row>
    <row r="3" spans="1:9">
      <c r="A3" s="18" t="s">
        <v>20</v>
      </c>
      <c r="B3" s="6" t="s">
        <v>18</v>
      </c>
      <c r="D3" s="18" t="s">
        <v>6</v>
      </c>
      <c r="E3" s="6">
        <f>SUM(E11:E29)</f>
        <v>11</v>
      </c>
      <c r="H3" s="1" t="s">
        <v>22</v>
      </c>
      <c r="I3" s="3" t="s">
        <v>23</v>
      </c>
    </row>
    <row r="4" spans="1:9">
      <c r="A4" s="19" t="s">
        <v>5</v>
      </c>
      <c r="B4" s="9" t="s">
        <v>15</v>
      </c>
      <c r="D4" s="19" t="s">
        <v>7</v>
      </c>
      <c r="E4" s="9">
        <f>19-E3</f>
        <v>8</v>
      </c>
      <c r="H4" s="4" t="s">
        <v>6</v>
      </c>
      <c r="I4" s="6">
        <f>E3</f>
        <v>11</v>
      </c>
    </row>
    <row r="5" spans="1:9" ht="27.6">
      <c r="A5" s="19" t="s">
        <v>24</v>
      </c>
      <c r="B5" s="9">
        <v>19</v>
      </c>
      <c r="D5" s="19" t="s">
        <v>2</v>
      </c>
      <c r="E5" s="21">
        <f>E3/19*100</f>
        <v>57.894736842105267</v>
      </c>
      <c r="H5" s="10" t="s">
        <v>7</v>
      </c>
      <c r="I5" s="12">
        <f>E4</f>
        <v>8</v>
      </c>
    </row>
    <row r="6" spans="1:9">
      <c r="A6" s="19" t="s">
        <v>9</v>
      </c>
      <c r="B6" s="9">
        <v>75</v>
      </c>
      <c r="D6" s="19" t="s">
        <v>25</v>
      </c>
      <c r="E6" s="22">
        <f>E3/19</f>
        <v>0.57894736842105265</v>
      </c>
    </row>
    <row r="7" spans="1:9">
      <c r="A7" s="20" t="s">
        <v>8</v>
      </c>
      <c r="B7" s="12" t="str">
        <f>IF(E5&gt;=B6,"Lulus","Belum Lulus")</f>
        <v>Belum Lulus</v>
      </c>
      <c r="D7" s="20" t="s">
        <v>26</v>
      </c>
      <c r="E7" s="34" t="s">
        <v>27</v>
      </c>
      <c r="F7" s="34"/>
    </row>
    <row r="8" spans="1:9">
      <c r="H8" s="1" t="s">
        <v>28</v>
      </c>
      <c r="I8" s="3" t="s">
        <v>2</v>
      </c>
    </row>
    <row r="9" spans="1:9">
      <c r="H9" s="4" t="s">
        <v>29</v>
      </c>
      <c r="I9" s="6">
        <f>E5</f>
        <v>57.894736842105267</v>
      </c>
    </row>
    <row r="10" spans="1:9" ht="12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3" t="s">
        <v>35</v>
      </c>
      <c r="H10" s="10" t="s">
        <v>9</v>
      </c>
      <c r="I10" s="12">
        <v>75</v>
      </c>
    </row>
    <row r="11" spans="1:9" ht="27.6">
      <c r="A11" s="4">
        <v>1</v>
      </c>
      <c r="B11" s="5" t="s">
        <v>36</v>
      </c>
      <c r="C11" s="5" t="s">
        <v>37</v>
      </c>
      <c r="D11" s="5" t="s">
        <v>37</v>
      </c>
      <c r="E11" s="5">
        <f t="shared" ref="E11:E29" si="0">IF(C11=D11,1,0)</f>
        <v>1</v>
      </c>
      <c r="F11" s="6" t="str">
        <f t="shared" ref="F11:F29" si="1">IF(E11=1,"Benar","Salah")</f>
        <v>Benar</v>
      </c>
    </row>
    <row r="12" spans="1:9" ht="41.4">
      <c r="A12" s="7">
        <v>2</v>
      </c>
      <c r="B12" s="8" t="s">
        <v>38</v>
      </c>
      <c r="C12" s="8" t="s">
        <v>39</v>
      </c>
      <c r="D12" s="8" t="s">
        <v>39</v>
      </c>
      <c r="E12" s="8">
        <f t="shared" si="0"/>
        <v>1</v>
      </c>
      <c r="F12" s="9" t="str">
        <f t="shared" si="1"/>
        <v>Benar</v>
      </c>
    </row>
    <row r="13" spans="1:9" ht="27.6">
      <c r="A13" s="7">
        <v>3</v>
      </c>
      <c r="B13" s="8" t="s">
        <v>40</v>
      </c>
      <c r="C13" s="8" t="s">
        <v>41</v>
      </c>
      <c r="D13" s="8" t="s">
        <v>41</v>
      </c>
      <c r="E13" s="8">
        <f t="shared" si="0"/>
        <v>1</v>
      </c>
      <c r="F13" s="9" t="str">
        <f t="shared" si="1"/>
        <v>Benar</v>
      </c>
    </row>
    <row r="14" spans="1:9" ht="27.6">
      <c r="A14" s="7">
        <v>4</v>
      </c>
      <c r="B14" s="8" t="s">
        <v>42</v>
      </c>
      <c r="C14" s="8" t="s">
        <v>43</v>
      </c>
      <c r="D14" s="8" t="s">
        <v>43</v>
      </c>
      <c r="E14" s="8">
        <f t="shared" si="0"/>
        <v>1</v>
      </c>
      <c r="F14" s="9" t="str">
        <f t="shared" si="1"/>
        <v>Benar</v>
      </c>
    </row>
    <row r="15" spans="1:9" ht="27.6">
      <c r="A15" s="7">
        <v>5</v>
      </c>
      <c r="B15" s="8" t="s">
        <v>44</v>
      </c>
      <c r="C15" s="8" t="s">
        <v>45</v>
      </c>
      <c r="D15" s="8" t="s">
        <v>45</v>
      </c>
      <c r="E15" s="8">
        <f t="shared" si="0"/>
        <v>1</v>
      </c>
      <c r="F15" s="9" t="str">
        <f t="shared" si="1"/>
        <v>Benar</v>
      </c>
    </row>
    <row r="16" spans="1:9" ht="27.6">
      <c r="A16" s="7">
        <v>6</v>
      </c>
      <c r="B16" s="8" t="s">
        <v>46</v>
      </c>
      <c r="C16" s="8" t="s">
        <v>97</v>
      </c>
      <c r="D16" s="8" t="s">
        <v>47</v>
      </c>
      <c r="E16" s="8">
        <f t="shared" si="0"/>
        <v>0</v>
      </c>
      <c r="F16" s="9" t="str">
        <f t="shared" si="1"/>
        <v>Salah</v>
      </c>
    </row>
    <row r="17" spans="1:6" ht="27.6">
      <c r="A17" s="7">
        <v>7</v>
      </c>
      <c r="B17" s="8" t="s">
        <v>48</v>
      </c>
      <c r="C17" s="8" t="s">
        <v>49</v>
      </c>
      <c r="D17" s="8" t="s">
        <v>49</v>
      </c>
      <c r="E17" s="8">
        <f t="shared" si="0"/>
        <v>1</v>
      </c>
      <c r="F17" s="9" t="str">
        <f t="shared" si="1"/>
        <v>Benar</v>
      </c>
    </row>
    <row r="18" spans="1:6" ht="27.6">
      <c r="A18" s="7">
        <v>8</v>
      </c>
      <c r="B18" s="8" t="s">
        <v>50</v>
      </c>
      <c r="C18" s="8" t="s">
        <v>98</v>
      </c>
      <c r="D18" s="8" t="s">
        <v>51</v>
      </c>
      <c r="E18" s="8">
        <f t="shared" si="0"/>
        <v>0</v>
      </c>
      <c r="F18" s="9" t="str">
        <f t="shared" si="1"/>
        <v>Salah</v>
      </c>
    </row>
    <row r="19" spans="1:6" ht="27.6">
      <c r="A19" s="7">
        <v>9</v>
      </c>
      <c r="B19" s="8" t="s">
        <v>52</v>
      </c>
      <c r="C19" s="8" t="s">
        <v>53</v>
      </c>
      <c r="D19" s="8" t="s">
        <v>53</v>
      </c>
      <c r="E19" s="8">
        <f t="shared" si="0"/>
        <v>1</v>
      </c>
      <c r="F19" s="9" t="str">
        <f t="shared" si="1"/>
        <v>Benar</v>
      </c>
    </row>
    <row r="20" spans="1:6" ht="27.6">
      <c r="A20" s="7">
        <v>10</v>
      </c>
      <c r="B20" s="8" t="s">
        <v>54</v>
      </c>
      <c r="C20" s="8" t="s">
        <v>99</v>
      </c>
      <c r="D20" s="8" t="s">
        <v>55</v>
      </c>
      <c r="E20" s="8">
        <f t="shared" si="0"/>
        <v>0</v>
      </c>
      <c r="F20" s="9" t="str">
        <f t="shared" si="1"/>
        <v>Salah</v>
      </c>
    </row>
    <row r="21" spans="1:6">
      <c r="A21" s="7">
        <v>11</v>
      </c>
      <c r="B21" s="8" t="s">
        <v>56</v>
      </c>
      <c r="C21" s="8" t="s">
        <v>57</v>
      </c>
      <c r="D21" s="8" t="s">
        <v>57</v>
      </c>
      <c r="E21" s="8">
        <f t="shared" si="0"/>
        <v>1</v>
      </c>
      <c r="F21" s="9" t="str">
        <f t="shared" si="1"/>
        <v>Benar</v>
      </c>
    </row>
    <row r="22" spans="1:6" ht="27.6">
      <c r="A22" s="7">
        <v>12</v>
      </c>
      <c r="B22" s="8" t="s">
        <v>58</v>
      </c>
      <c r="C22" s="8" t="s">
        <v>100</v>
      </c>
      <c r="D22" s="8" t="s">
        <v>59</v>
      </c>
      <c r="E22" s="8">
        <f t="shared" si="0"/>
        <v>0</v>
      </c>
      <c r="F22" s="9" t="str">
        <f t="shared" si="1"/>
        <v>Salah</v>
      </c>
    </row>
    <row r="23" spans="1:6" ht="27.6">
      <c r="A23" s="7">
        <v>13</v>
      </c>
      <c r="B23" s="8" t="s">
        <v>60</v>
      </c>
      <c r="C23" s="8" t="s">
        <v>61</v>
      </c>
      <c r="D23" s="8" t="s">
        <v>61</v>
      </c>
      <c r="E23" s="8">
        <f t="shared" si="0"/>
        <v>1</v>
      </c>
      <c r="F23" s="9" t="str">
        <f t="shared" si="1"/>
        <v>Benar</v>
      </c>
    </row>
    <row r="24" spans="1:6" ht="27.6">
      <c r="A24" s="7">
        <v>14</v>
      </c>
      <c r="B24" s="8" t="s">
        <v>62</v>
      </c>
      <c r="C24" s="8" t="s">
        <v>101</v>
      </c>
      <c r="D24" s="8" t="s">
        <v>63</v>
      </c>
      <c r="E24" s="8">
        <f t="shared" si="0"/>
        <v>0</v>
      </c>
      <c r="F24" s="9" t="str">
        <f t="shared" si="1"/>
        <v>Salah</v>
      </c>
    </row>
    <row r="25" spans="1:6" ht="27.6">
      <c r="A25" s="7">
        <v>15</v>
      </c>
      <c r="B25" s="8" t="s">
        <v>64</v>
      </c>
      <c r="C25" s="8" t="s">
        <v>102</v>
      </c>
      <c r="D25" s="8" t="s">
        <v>65</v>
      </c>
      <c r="E25" s="8">
        <f t="shared" si="0"/>
        <v>0</v>
      </c>
      <c r="F25" s="9" t="str">
        <f t="shared" si="1"/>
        <v>Salah</v>
      </c>
    </row>
    <row r="26" spans="1:6" ht="27.6">
      <c r="A26" s="7">
        <v>16</v>
      </c>
      <c r="B26" s="8" t="s">
        <v>66</v>
      </c>
      <c r="C26" s="8" t="s">
        <v>69</v>
      </c>
      <c r="D26" s="8" t="s">
        <v>67</v>
      </c>
      <c r="E26" s="8">
        <f t="shared" si="0"/>
        <v>0</v>
      </c>
      <c r="F26" s="9" t="str">
        <f t="shared" si="1"/>
        <v>Salah</v>
      </c>
    </row>
    <row r="27" spans="1:6">
      <c r="A27" s="7">
        <v>17</v>
      </c>
      <c r="B27" s="8" t="s">
        <v>68</v>
      </c>
      <c r="C27" s="8" t="s">
        <v>69</v>
      </c>
      <c r="D27" s="8" t="s">
        <v>69</v>
      </c>
      <c r="E27" s="8">
        <f t="shared" si="0"/>
        <v>1</v>
      </c>
      <c r="F27" s="9" t="str">
        <f t="shared" si="1"/>
        <v>Benar</v>
      </c>
    </row>
    <row r="28" spans="1:6">
      <c r="A28" s="7">
        <v>18</v>
      </c>
      <c r="B28" s="8" t="s">
        <v>70</v>
      </c>
      <c r="C28" s="8" t="s">
        <v>71</v>
      </c>
      <c r="D28" s="8" t="s">
        <v>71</v>
      </c>
      <c r="E28" s="8">
        <f t="shared" si="0"/>
        <v>1</v>
      </c>
      <c r="F28" s="9" t="str">
        <f t="shared" si="1"/>
        <v>Benar</v>
      </c>
    </row>
    <row r="29" spans="1:6" ht="27.6">
      <c r="A29" s="10">
        <v>19</v>
      </c>
      <c r="B29" s="11" t="s">
        <v>72</v>
      </c>
      <c r="C29" s="11" t="s">
        <v>103</v>
      </c>
      <c r="D29" s="11" t="s">
        <v>73</v>
      </c>
      <c r="E29" s="11">
        <f t="shared" si="0"/>
        <v>0</v>
      </c>
      <c r="F29" s="12" t="str">
        <f t="shared" si="1"/>
        <v>Salah</v>
      </c>
    </row>
    <row r="32" spans="1:6" ht="16.8">
      <c r="A32" s="27" t="s">
        <v>74</v>
      </c>
      <c r="B32" s="27"/>
      <c r="C32" s="27"/>
      <c r="D32" s="27"/>
      <c r="E32" s="27"/>
      <c r="F32" s="27"/>
    </row>
    <row r="33" spans="1:6" ht="27.6">
      <c r="A33" s="23" t="s">
        <v>104</v>
      </c>
      <c r="B33" s="28" t="s">
        <v>105</v>
      </c>
      <c r="C33" s="28"/>
      <c r="D33" s="28"/>
      <c r="E33" s="28"/>
      <c r="F33" s="29"/>
    </row>
    <row r="34" spans="1:6" ht="41.4">
      <c r="A34" s="25" t="s">
        <v>106</v>
      </c>
      <c r="B34" s="32" t="s">
        <v>107</v>
      </c>
      <c r="C34" s="32"/>
      <c r="D34" s="32"/>
      <c r="E34" s="32"/>
      <c r="F34" s="33"/>
    </row>
    <row r="35" spans="1:6" ht="55.2">
      <c r="A35" s="25" t="s">
        <v>108</v>
      </c>
      <c r="B35" s="32" t="s">
        <v>109</v>
      </c>
      <c r="C35" s="32"/>
      <c r="D35" s="32"/>
      <c r="E35" s="32"/>
      <c r="F35" s="33"/>
    </row>
    <row r="36" spans="1:6" ht="55.2">
      <c r="A36" s="25" t="s">
        <v>93</v>
      </c>
      <c r="B36" s="32" t="s">
        <v>110</v>
      </c>
      <c r="C36" s="32"/>
      <c r="D36" s="32"/>
      <c r="E36" s="32"/>
      <c r="F36" s="33"/>
    </row>
    <row r="37" spans="1:6" ht="55.2">
      <c r="A37" s="25" t="s">
        <v>111</v>
      </c>
      <c r="B37" s="32" t="s">
        <v>112</v>
      </c>
      <c r="C37" s="32"/>
      <c r="D37" s="32"/>
      <c r="E37" s="32"/>
      <c r="F37" s="33"/>
    </row>
    <row r="38" spans="1:6" ht="27.6">
      <c r="A38" s="24" t="s">
        <v>77</v>
      </c>
      <c r="B38" s="30" t="s">
        <v>113</v>
      </c>
      <c r="C38" s="30"/>
      <c r="D38" s="30"/>
      <c r="E38" s="30"/>
      <c r="F38" s="31"/>
    </row>
  </sheetData>
  <mergeCells count="9">
    <mergeCell ref="B36:F36"/>
    <mergeCell ref="B37:F37"/>
    <mergeCell ref="B38:F38"/>
    <mergeCell ref="E7:F7"/>
    <mergeCell ref="A1:F1"/>
    <mergeCell ref="A32:F32"/>
    <mergeCell ref="B33:F33"/>
    <mergeCell ref="B34:F34"/>
    <mergeCell ref="B35:F35"/>
  </mergeCells>
  <conditionalFormatting sqref="B7">
    <cfRule type="expression" dxfId="3" priority="3">
      <formula>B7="Lulus"</formula>
    </cfRule>
    <cfRule type="expression" dxfId="2" priority="4">
      <formula>B7="Belum Lulus"</formula>
    </cfRule>
  </conditionalFormatting>
  <conditionalFormatting sqref="F11:F29">
    <cfRule type="expression" dxfId="1" priority="1">
      <formula>F11="Benar"</formula>
    </cfRule>
    <cfRule type="expression" dxfId="0" priority="2">
      <formula>F11="Salah"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Matthew</vt:lpstr>
      <vt:lpstr>Intan</vt:lpstr>
      <vt:lpstr>Valen</vt:lpstr>
      <vt:lpstr>Rafa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modified xsi:type="dcterms:W3CDTF">2026-09-19T08:24:30Z</dcterms:modified>
</cp:coreProperties>
</file>