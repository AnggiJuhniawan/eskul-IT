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38d6b603a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ffb951d5064a2e"/>
    <x:sheet xmlns:r="http://schemas.openxmlformats.org/officeDocument/2006/relationships" name="Matthew" sheetId="2" r:id="R204d7d34e5e74376"/>
    <x:sheet xmlns:r="http://schemas.openxmlformats.org/officeDocument/2006/relationships" name="Intan" sheetId="3" r:id="Rf2851fad7e374a62"/>
    <x:sheet xmlns:r="http://schemas.openxmlformats.org/officeDocument/2006/relationships" name="Valen" sheetId="4" r:id="Ra3a1576d5a504cef"/>
    <x:sheet xmlns:r="http://schemas.openxmlformats.org/officeDocument/2006/relationships" name="Rafa" sheetId="5" r:id="Rd6d0147dae62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2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11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/>
    <x:xf numFmtId="0" fontId="3" fillId="4" borderId="19" xfId="0" applyNumberFormat="1" applyFont="1" applyFill="1" applyBorder="1"/>
    <x:xf numFmtId="0" fontId="3" fillId="4" borderId="21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  <x:xf numFmtId="0" fontId="3" fillId="4" borderId="2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8" xfId="0" applyNumberFormat="1" applyFont="1" applyFill="1" applyBorder="1"/>
    <x:xf numFmtId="0" fontId="3" fillId="6" borderId="13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vertical="top" wrapText="1"/>
    </x:xf>
    <x:xf numFmtId="0" fontId="3" fillId="6" borderId="16" xfId="0" applyNumberFormat="1" applyFont="1" applyFill="1" applyBorder="1"/>
    <x:xf numFmtId="0" fontId="3" fillId="6" borderId="21" xfId="0" applyNumberFormat="1" applyFont="1" applyFill="1" applyBorder="1"/>
    <x:xf numFmtId="0" fontId="3" fillId="6" borderId="16" xfId="0" applyNumberFormat="1" applyFont="1" applyFill="1" applyBorder="1" applyAlignment="1">
      <x:alignment wrapText="1"/>
    </x:xf>
    <x:xf numFmtId="0" fontId="3" fillId="6" borderId="21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vertical="top" wrapText="1"/>
    </x:xf>
    <x:xf numFmtId="0" fontId="3" fillId="6" borderId="11" xfId="0" applyNumberFormat="1" applyFont="1" applyFill="1" applyBorder="1"/>
    <x:xf numFmtId="0" fontId="3" fillId="6" borderId="11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top" wrapText="1"/>
    </x:xf>
    <x:xf numFmtId="0" fontId="3" fillId="6" borderId="19" xfId="0" applyNumberFormat="1" applyFont="1" applyFill="1" applyBorder="1"/>
    <x:xf numFmtId="0" fontId="3" fillId="6" borderId="19" xfId="0" applyNumberFormat="1" applyFont="1" applyFill="1" applyBorder="1" applyAlignment="1">
      <x:alignment wrapText="1"/>
    </x:xf>
    <x:xf numFmtId="0" fontId="3" fillId="6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9dd07cdde4dfc" /><Relationship Type="http://schemas.openxmlformats.org/officeDocument/2006/relationships/theme" Target="/xl/theme/theme1.xml" Id="Rba92594938534c98" /><Relationship Type="http://schemas.openxmlformats.org/officeDocument/2006/relationships/sharedStrings" Target="/xl/sharedStrings.xml" Id="R5e7af0a9656b4bcd" /><Relationship Type="http://schemas.openxmlformats.org/officeDocument/2006/relationships/worksheet" Target="/xl/worksheets/sheet1.xml" Id="R9bffb951d5064a2e" /><Relationship Type="http://schemas.openxmlformats.org/officeDocument/2006/relationships/worksheet" Target="/xl/worksheets/sheet2.xml" Id="R204d7d34e5e74376" /><Relationship Type="http://schemas.openxmlformats.org/officeDocument/2006/relationships/worksheet" Target="/xl/worksheets/sheet3.xml" Id="Rf2851fad7e374a62" /><Relationship Type="http://schemas.openxmlformats.org/officeDocument/2006/relationships/worksheet" Target="/xl/worksheets/sheet4.xml" Id="Ra3a1576d5a504cef" /><Relationship Type="http://schemas.openxmlformats.org/officeDocument/2006/relationships/worksheet" Target="/xl/worksheets/sheet5.xml" Id="Rd6d0147dae6242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ac6a17ba9a4b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1d7447f2bd244e7" /><Relationship Type="http://schemas.openxmlformats.org/officeDocument/2006/relationships/chart" Target="/xl/drawings/charts/chart3.xml" Id="Rd25aa342b5514bb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212e810edd0494a" /><Relationship Type="http://schemas.openxmlformats.org/officeDocument/2006/relationships/chart" Target="/xl/drawings/charts/chart5.xml" Id="R6024a115c51046c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d16194bf8c145eb" /><Relationship Type="http://schemas.openxmlformats.org/officeDocument/2006/relationships/chart" Target="/xl/drawings/charts/chart7.xml" Id="R0e30bba08706415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409bc6aed044c29" /><Relationship Type="http://schemas.openxmlformats.org/officeDocument/2006/relationships/chart" Target="/xl/drawings/charts/chart9.xml" Id="R8017164c822940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Nilai Siswa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Nilai</c:v>
          </c:tx>
          <c:cat>
            <c:strRef>
              <c:f>'Summary'!$I$10:$I$13</c:f>
              <c:strCache>
                <c:ptCount val="0"/>
              </c:strCache>
            </c:strRef>
          </c:cat>
          <c:val>
            <c:numRef>
              <c:f>'Summary'!$J$10:$J$13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Benar vs Salah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'Matthew'!$H$4:$H$5</c:f>
              <c:strCache>
                <c:ptCount val="0"/>
              </c:strCache>
            </c:strRef>
          </c:cat>
          <c:val>
            <c:numRef>
              <c:f>'Matthew'!$I$4:$I$5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Nilai vs KKM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Nilai</c:v>
          </c:tx>
          <c:cat>
            <c:strRef>
              <c:f>'Matthew'!$H$9:$H$10</c:f>
              <c:strCache>
                <c:ptCount val="0"/>
              </c:strCache>
            </c:strRef>
          </c:cat>
          <c:val>
            <c:numRef>
              <c:f>'Matthew'!$I$9:$I$10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Benar vs Salah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'Intan'!$H$4:$H$5</c:f>
              <c:strCache>
                <c:ptCount val="0"/>
              </c:strCache>
            </c:strRef>
          </c:cat>
          <c:val>
            <c:numRef>
              <c:f>'Intan'!$I$4:$I$5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Nilai vs KKM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Nilai</c:v>
          </c:tx>
          <c:cat>
            <c:strRef>
              <c:f>'Intan'!$H$9:$H$10</c:f>
              <c:strCache>
                <c:ptCount val="0"/>
              </c:strCache>
            </c:strRef>
          </c:cat>
          <c:val>
            <c:numRef>
              <c:f>'Intan'!$I$9:$I$10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Benar vs Salah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'Valen'!$H$4:$H$5</c:f>
              <c:strCache>
                <c:ptCount val="0"/>
              </c:strCache>
            </c:strRef>
          </c:cat>
          <c:val>
            <c:numRef>
              <c:f>'Valen'!$I$4:$I$5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Nilai vs KKM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Nilai</c:v>
          </c:tx>
          <c:cat>
            <c:strRef>
              <c:f>'Valen'!$H$9:$H$10</c:f>
              <c:strCache>
                <c:ptCount val="0"/>
              </c:strCache>
            </c:strRef>
          </c:cat>
          <c:val>
            <c:numRef>
              <c:f>'Valen'!$I$9:$I$10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Benar vs Salah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'Rafa'!$H$4:$H$5</c:f>
              <c:strCache>
                <c:ptCount val="0"/>
              </c:strCache>
            </c:strRef>
          </c:cat>
          <c:val>
            <c:numRef>
              <c:f>'Rafa'!$I$4:$I$5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Nilai vs KKM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Nilai</c:v>
          </c:tx>
          <c:cat>
            <c:strRef>
              <c:f>'Rafa'!$H$9:$H$10</c:f>
              <c:strCache>
                <c:ptCount val="0"/>
              </c:strCache>
            </c:strRef>
          </c:cat>
          <c:val>
            <c:numRef>
              <c:f>'Rafa'!$I$9:$I$10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ac6a17ba9a4bd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d7447f2bd244e7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5aa342b5514bb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12e810edd0494a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24a115c51046c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16194bf8c145eb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0bba08706415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09bc6aed044c29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17164c822940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121e326db34d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334f4d934364a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a41faba249442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900634c82f846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f98eaf1878da43b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9" max="9" width="26" hidden="0" customWidth="1"/>
    <x:col min="10" max="10" width="12" hidden="0" customWidth="1"/>
    <x:col min="11" max="11" width="12" hidden="0" customWidth="1"/>
  </x:cols>
  <x:sheetData>
    <x:row r="1" ht="28" customHeight="1">
      <x:c r="A1" s="5" t="str">
        <x:v>Rekap Penilaian Evaluasi C# Dasar</x:v>
      </x:c>
      <x:c r="B1" s="5"/>
      <x:c r="C1" s="5"/>
      <x:c r="D1" s="5"/>
      <x:c r="E1" s="5"/>
      <x:c r="F1" s="5"/>
      <x:c r="G1" s="5"/>
    </x:row>
    <x:row r="2">
      <x:c r="I2" s="21" t="str">
        <x:v>Ringkasan</x:v>
      </x:c>
      <x:c r="J2" s="23" t="str">
        <x:v>Nilai</x:v>
      </x:c>
    </x:row>
    <x:row r="3">
      <x:c r="A3" s="21" t="str">
        <x:v>Peringkat</x:v>
      </x:c>
      <x:c r="B3" s="22" t="str">
        <x:v>Nama Siswa</x:v>
      </x:c>
      <x:c r="C3" s="22" t="str">
        <x:v>Kelas</x:v>
      </x:c>
      <x:c r="D3" s="22" t="str">
        <x:v>Benar</x:v>
      </x:c>
      <x:c r="E3" s="22" t="str">
        <x:v>Salah</x:v>
      </x:c>
      <x:c r="F3" s="22" t="str">
        <x:v>Nilai</x:v>
      </x:c>
      <x:c r="G3" s="23" t="str">
        <x:v>Status</x:v>
      </x:c>
      <x:c r="I3" s="56" t="str">
        <x:v>KKM</x:v>
      </x:c>
      <x:c r="J3" s="58" t="n">
        <x:v>75</x:v>
      </x:c>
    </x:row>
    <x:row r="4">
      <x:c r="A4" s="56" t="n">
        <x:v>1</x:v>
      </x:c>
      <x:c r="B4" s="57" t="str">
        <x:v>Matthew Imanuel Venliputra</x:v>
      </x:c>
      <x:c r="C4" s="57" t="str">
        <x:v>X RPL 2</x:v>
      </x:c>
      <x:c r="D4" s="57" t="n">
        <x:v>19</x:v>
      </x:c>
      <x:c r="E4" s="57" t="n">
        <x:v>0</x:v>
      </x:c>
      <x:c r="F4" s="91" t="n">
        <x:v>100</x:v>
      </x:c>
      <x:c r="G4" s="58" t="str">
        <x:v>Lulus</x:v>
      </x:c>
      <x:c r="I4" s="59" t="str">
        <x:v>Jumlah Siswa</x:v>
      </x:c>
      <x:c r="J4" s="61" t="n">
        <x:v>4</x:v>
      </x:c>
    </x:row>
    <x:row r="5">
      <x:c r="A5" s="59" t="n">
        <x:v>2</x:v>
      </x:c>
      <x:c r="B5" s="60" t="str">
        <x:v>Intan Zahra Wulanti</x:v>
      </x:c>
      <x:c r="C5" s="60" t="str">
        <x:v>X RPL 1</x:v>
      </x:c>
      <x:c r="D5" s="60" t="n">
        <x:v>18</x:v>
      </x:c>
      <x:c r="E5" s="60" t="n">
        <x:v>1</x:v>
      </x:c>
      <x:c r="F5" s="92" t="n">
        <x:v>94.7</x:v>
      </x:c>
      <x:c r="G5" s="61" t="str">
        <x:v>Lulus</x:v>
      </x:c>
      <x:c r="I5" s="59" t="str">
        <x:v>Lulus</x:v>
      </x:c>
      <x:c r="J5" s="61" t="n">
        <x:v>3</x:v>
      </x:c>
    </x:row>
    <x:row r="6">
      <x:c r="A6" s="59" t="n">
        <x:v>3</x:v>
      </x:c>
      <x:c r="B6" s="60" t="str">
        <x:v>Valen Putra Ariansyah</x:v>
      </x:c>
      <x:c r="C6" s="60" t="str">
        <x:v>X RPL 1</x:v>
      </x:c>
      <x:c r="D6" s="60" t="n">
        <x:v>16</x:v>
      </x:c>
      <x:c r="E6" s="60" t="n">
        <x:v>3</x:v>
      </x:c>
      <x:c r="F6" s="92" t="n">
        <x:v>84.2</x:v>
      </x:c>
      <x:c r="G6" s="61" t="str">
        <x:v>Lulus</x:v>
      </x:c>
      <x:c r="I6" s="62" t="str">
        <x:v>Belum Lulus</x:v>
      </x:c>
      <x:c r="J6" s="64" t="n">
        <x:v>1</x:v>
      </x:c>
    </x:row>
    <x:row r="7">
      <x:c r="A7" s="62" t="n">
        <x:v>4</x:v>
      </x:c>
      <x:c r="B7" s="63" t="str">
        <x:v>Muhammad Rafa Athaya</x:v>
      </x:c>
      <x:c r="C7" s="63" t="str">
        <x:v>X RPL 1</x:v>
      </x:c>
      <x:c r="D7" s="63" t="n">
        <x:v>11</x:v>
      </x:c>
      <x:c r="E7" s="63" t="n">
        <x:v>8</x:v>
      </x:c>
      <x:c r="F7" s="93" t="n">
        <x:v>57.9</x:v>
      </x:c>
      <x:c r="G7" s="64" t="str">
        <x:v>Belum Lulus</x:v>
      </x:c>
      <x:c r="I7" s="101" t="str">
        <x:v>Rata-rata</x:v>
      </x:c>
      <x:c r="J7" s="109" t="n">
        <x:f>AVERAGE(F4:F7)</x:f>
        <x:v>84.19999999999999</x:v>
      </x:c>
    </x:row>
    <x:row r="9">
      <x:c r="I9" s="21" t="str">
        <x:v>Nama</x:v>
      </x:c>
      <x:c r="J9" s="22" t="str">
        <x:v>Nilai</x:v>
      </x:c>
      <x:c r="K9" s="23" t="str">
        <x:v>KKM</x:v>
      </x:c>
    </x:row>
    <x:row r="10">
      <x:c r="I10" s="56" t="str">
        <x:v>Matthew Imanuel Venliputra</x:v>
      </x:c>
      <x:c r="J10" s="57" t="n">
        <x:v>100</x:v>
      </x:c>
      <x:c r="K10" s="58" t="n">
        <x:v>75</x:v>
      </x:c>
    </x:row>
    <x:row r="11">
      <x:c r="I11" s="59" t="str">
        <x:v>Intan Zahra Wulanti</x:v>
      </x:c>
      <x:c r="J11" s="60" t="n">
        <x:v>94.7</x:v>
      </x:c>
      <x:c r="K11" s="61" t="n">
        <x:v>75</x:v>
      </x:c>
    </x:row>
    <x:row r="12">
      <x:c r="I12" s="59" t="str">
        <x:v>Valen Putra Ariansyah</x:v>
      </x:c>
      <x:c r="J12" s="60" t="n">
        <x:v>84.2</x:v>
      </x:c>
      <x:c r="K12" s="61" t="n">
        <x:v>75</x:v>
      </x:c>
    </x:row>
    <x:row r="13">
      <x:c r="I13" s="62" t="str">
        <x:v>Muhammad Rafa Athaya</x:v>
      </x:c>
      <x:c r="J13" s="63" t="n">
        <x:v>57.9</x:v>
      </x:c>
      <x:c r="K13" s="64" t="n">
        <x:v>75</x:v>
      </x:c>
    </x:row>
  </x:sheetData>
  <x:mergeCells>
    <x:mergeCell ref="A1:G1"/>
  </x:mergeCells>
  <x:conditionalFormatting sqref="G4:G7">
    <x:cfRule type="expression" dxfId="0" priority="1">
      <x:formula>G4="Lulus"</x:formula>
    </x:cfRule>
    <x:cfRule type="expression" dxfId="1" priority="2">
      <x:formula>G4="Belum Lulus"</x:formula>
    </x:cfRule>
  </x:conditionalFormatting>
  <x:conditionalFormatting sqref="F4:F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5d121e326db34d36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34" hidden="0" customWidth="1"/>
    <x:col min="4" max="4" width="34" hidden="0" customWidth="1"/>
    <x:col min="5" max="5" width="9" hidden="0" customWidth="1"/>
    <x:col min="6" max="6" width="14" hidden="0" customWidth="1"/>
    <x:col min="8" max="8" width="18" hidden="0" customWidth="1"/>
    <x:col min="9" max="9" width="12" hidden="0" customWidth="1"/>
  </x:cols>
  <x:sheetData>
    <x:row r="1" ht="28" customHeight="1">
      <x:c r="A1" s="5" t="str">
        <x:v>Penilaian C# Dasar — Matthew Imanuel Venliputra</x:v>
      </x:c>
      <x:c r="B1" s="5"/>
      <x:c r="C1" s="5"/>
      <x:c r="D1" s="5"/>
      <x:c r="E1" s="5"/>
      <x:c r="F1" s="5"/>
    </x:row>
    <x:row r="3">
      <x:c r="A3" s="121" t="str">
        <x:v>Nama</x:v>
      </x:c>
      <x:c r="B3" s="58" t="str">
        <x:v>Matthew Imanuel Venliputra</x:v>
      </x:c>
      <x:c r="D3" s="121" t="str">
        <x:v>Benar</x:v>
      </x:c>
      <x:c r="E3" s="58" t="n">
        <x:f>SUM(E11:E29)</x:f>
        <x:v>19</x:v>
      </x:c>
      <x:c r="H3" s="21" t="str">
        <x:v>Hasil</x:v>
      </x:c>
      <x:c r="I3" s="23" t="str">
        <x:v>Jumlah</x:v>
      </x:c>
    </x:row>
    <x:row r="4">
      <x:c r="A4" s="122" t="str">
        <x:v>Kelas</x:v>
      </x:c>
      <x:c r="B4" s="61" t="str">
        <x:v>X RPL 2</x:v>
      </x:c>
      <x:c r="D4" s="122" t="str">
        <x:v>Salah</x:v>
      </x:c>
      <x:c r="E4" s="61" t="n">
        <x:f>19-E3</x:f>
        <x:v>0</x:v>
      </x:c>
      <x:c r="H4" s="56" t="str">
        <x:v>Benar</x:v>
      </x:c>
      <x:c r="I4" s="58" t="n">
        <x:f>E3</x:f>
        <x:v>19</x:v>
      </x:c>
    </x:row>
    <x:row r="5">
      <x:c r="A5" s="122" t="str">
        <x:v>Jumlah Soal</x:v>
      </x:c>
      <x:c r="B5" s="61" t="n">
        <x:v>19</x:v>
      </x:c>
      <x:c r="D5" s="122" t="str">
        <x:v>Nilai</x:v>
      </x:c>
      <x:c r="E5" s="133" t="n">
        <x:f>E3/19*100</x:f>
        <x:v>100</x:v>
      </x:c>
      <x:c r="H5" s="62" t="str">
        <x:v>Salah</x:v>
      </x:c>
      <x:c r="I5" s="64" t="n">
        <x:f>E4</x:f>
        <x:v>0</x:v>
      </x:c>
    </x:row>
    <x:row r="6">
      <x:c r="A6" s="122" t="str">
        <x:v>KKM</x:v>
      </x:c>
      <x:c r="B6" s="61" t="n">
        <x:v>75</x:v>
      </x:c>
      <x:c r="D6" s="122" t="str">
        <x:v>Persentase Benar</x:v>
      </x:c>
      <x:c r="E6" s="135" t="n">
        <x:f>E3/19</x:f>
        <x:v>1</x:v>
      </x:c>
    </x:row>
    <x:row r="7">
      <x:c r="A7" s="123" t="str">
        <x:v>Status</x:v>
      </x:c>
      <x:c r="B7" s="64" t="str">
        <x:f>IF(E5&gt;=B6,"Lulus","Belum Lulus")</x:f>
        <x:v>Lulus</x:v>
      </x:c>
      <x:c r="D7" s="123" t="str">
        <x:v>Catatan</x:v>
      </x:c>
      <x:c r="E7" s="64" t="str">
        <x:v>Berdasarkan 19 jawaban yang tersedia</x:v>
      </x:c>
    </x:row>
    <x:row r="8">
      <x:c r="H8" s="21" t="str">
        <x:v>Pembanding</x:v>
      </x:c>
      <x:c r="I8" s="23" t="str">
        <x:v>Nilai</x:v>
      </x:c>
    </x:row>
    <x:row r="9">
      <x:c r="H9" s="56" t="str">
        <x:v>Nilai Siswa</x:v>
      </x:c>
      <x:c r="I9" s="58" t="n">
        <x:f>E5</x:f>
        <x:v>100</x:v>
      </x:c>
    </x:row>
    <x:row r="10" ht="15" hidden="0" customHeight="1">
      <x:c r="A10" s="21" t="str">
        <x:v>No</x:v>
      </x:c>
      <x:c r="B10" s="22" t="str">
        <x:v>Soal / Materi</x:v>
      </x:c>
      <x:c r="C10" s="22" t="str">
        <x:v>Jawaban Siswa</x:v>
      </x:c>
      <x:c r="D10" s="22" t="str">
        <x:v>Kunci Jawaban</x:v>
      </x:c>
      <x:c r="E10" s="22" t="str">
        <x:v>Poin</x:v>
      </x:c>
      <x:c r="F10" s="23" t="str">
        <x:v>Keterangan</x:v>
      </x:c>
      <x:c r="H10" s="62" t="str">
        <x:v>KKM</x:v>
      </x:c>
      <x:c r="I10" s="64" t="n">
        <x:v>75</x:v>
      </x:c>
    </x:row>
    <x:row r="11" ht="26.399999618530273" hidden="0" customHeight="1">
      <x:c r="A11" s="56" t="n">
        <x:v>1</x:v>
      </x:c>
      <x:c r="B11" s="57" t="str">
        <x:v>File utama yang biasanya digunakan untuk menulis kode pada Console App C# adalah...</x:v>
      </x:c>
      <x:c r="C11" s="57" t="str">
        <x:v>Program.cs</x:v>
      </x:c>
      <x:c r="D11" s="57" t="str">
        <x:v>Program.cs</x:v>
      </x:c>
      <x:c r="E11" s="57" t="n">
        <x:f>IF(C11=D11,1,0)</x:f>
        <x:v>1</x:v>
      </x:c>
      <x:c r="F11" s="58" t="str">
        <x:f>IF(E11=1,"Benar","Salah")</x:f>
        <x:v>Benar</x:v>
      </x:c>
    </x:row>
    <x:row r="12" ht="39.599998474121094" hidden="0" customHeight="1">
      <x:c r="A12" s="59" t="n">
        <x:v>2</x:v>
      </x:c>
      <x:c r="B12" s="60" t="str">
        <x:v>Perintah yang digunakan untuk menampilkan tulisan ke layar dan berpindah ke baris berikutnya adalah...</x:v>
      </x:c>
      <x:c r="C12" s="60" t="str">
        <x:v>Console.WriteLine()</x:v>
      </x:c>
      <x:c r="D12" s="60" t="str">
        <x:v>Console.WriteLine()</x:v>
      </x:c>
      <x:c r="E12" s="60" t="n">
        <x:f>IF(C12=D12,1,0)</x:f>
        <x:v>1</x:v>
      </x:c>
      <x:c r="F12" s="61" t="str">
        <x:f>IF(E12=1,"Benar","Salah")</x:f>
        <x:v>Benar</x:v>
      </x:c>
    </x:row>
    <x:row r="13" ht="26.399999618530273" hidden="0" customHeight="1">
      <x:c r="A13" s="59" t="n">
        <x:v>3</x:v>
      </x:c>
      <x:c r="B13" s="60" t="str">
        <x:v>Apa perbedaan utama Console.Write() dan Console.WriteLine()?</x:v>
      </x:c>
      <x:c r="C13" s="60" t="str">
        <x:v>Console.WriteLine() berpindah ke baris baru setelah menampilkan output</x:v>
      </x:c>
      <x:c r="D13" s="60" t="str">
        <x:v>Console.WriteLine() berpindah ke baris baru setelah menampilkan output</x:v>
      </x:c>
      <x:c r="E13" s="60" t="n">
        <x:f>IF(C13=D13,1,0)</x:f>
        <x:v>1</x:v>
      </x:c>
      <x:c r="F13" s="61" t="str">
        <x:f>IF(E13=1,"Benar","Salah")</x:f>
        <x:v>Benar</x:v>
      </x:c>
    </x:row>
    <x:row r="14" ht="26.399999618530273" hidden="0" customHeight="1">
      <x:c r="A14" s="59" t="n">
        <x:v>4</x:v>
      </x:c>
      <x:c r="B14" s="60" t="str">
        <x:v>Perintah yang digunakan untuk menerima input dari pengguna adalah...</x:v>
      </x:c>
      <x:c r="C14" s="60" t="str">
        <x:v>Console.ReadLine()</x:v>
      </x:c>
      <x:c r="D14" s="60" t="str">
        <x:v>Console.ReadLine()</x:v>
      </x:c>
      <x:c r="E14" s="60" t="n">
        <x:f>IF(C14=D14,1,0)</x:f>
        <x:v>1</x:v>
      </x:c>
      <x:c r="F14" s="61" t="str">
        <x:f>IF(E14=1,"Benar","Salah")</x:f>
        <x:v>Benar</x:v>
      </x:c>
    </x:row>
    <x:row r="15" ht="26.399999618530273" hidden="0" customHeight="1">
      <x:c r="A15" s="59" t="n">
        <x:v>5</x:v>
      </x:c>
      <x:c r="B15" s="60" t="str">
        <x:v>Manakah deklarasi variable yang benar untuk menyimpan nama siswa?</x:v>
      </x:c>
      <x:c r="C15" s="60" t="str">
        <x:v>B. string nama = "Andi";</x:v>
      </x:c>
      <x:c r="D15" s="60" t="str">
        <x:v>B. string nama = "Andi";</x:v>
      </x:c>
      <x:c r="E15" s="60" t="n">
        <x:f>IF(C15=D15,1,0)</x:f>
        <x:v>1</x:v>
      </x:c>
      <x:c r="F15" s="61" t="str">
        <x:f>IF(E15=1,"Benar","Salah")</x:f>
        <x:v>Benar</x:v>
      </x:c>
    </x:row>
    <x:row r="16" ht="26.399999618530273" hidden="0" customHeight="1">
      <x:c r="A16" s="59" t="n">
        <x:v>6</x:v>
      </x:c>
      <x:c r="B16" s="60" t="str">
        <x:v>Tipe data yang sesuai untuk menyimpan angka 17 adalah...</x:v>
      </x:c>
      <x:c r="C16" s="60" t="str">
        <x:v>C. int</x:v>
      </x:c>
      <x:c r="D16" s="60" t="str">
        <x:v>C. int</x:v>
      </x:c>
      <x:c r="E16" s="60" t="n">
        <x:f>IF(C16=D16,1,0)</x:f>
        <x:v>1</x:v>
      </x:c>
      <x:c r="F16" s="61" t="str">
        <x:f>IF(E16=1,"Benar","Salah")</x:f>
        <x:v>Benar</x:v>
      </x:c>
    </x:row>
    <x:row r="17" ht="26.399999618530273" hidden="0" customHeight="1">
      <x:c r="A17" s="59" t="n">
        <x:v>7</x:v>
      </x:c>
      <x:c r="B17" s="60" t="str">
        <x:v>Tipe data yang cocok untuk menyimpan nilai 85.5 adalah...</x:v>
      </x:c>
      <x:c r="C17" s="60" t="str">
        <x:v>B. double</x:v>
      </x:c>
      <x:c r="D17" s="60" t="str">
        <x:v>B. double</x:v>
      </x:c>
      <x:c r="E17" s="60" t="n">
        <x:f>IF(C17=D17,1,0)</x:f>
        <x:v>1</x:v>
      </x:c>
      <x:c r="F17" s="61" t="str">
        <x:f>IF(E17=1,"Benar","Salah")</x:f>
        <x:v>Benar</x:v>
      </x:c>
    </x:row>
    <x:row r="18" ht="15" hidden="0" customHeight="1">
      <x:c r="A18" s="59" t="n">
        <x:v>8</x:v>
      </x:c>
      <x:c r="B18" s="60" t="str">
        <x:v>Tipe data bool hanya dapat menyimpan nilai...</x:v>
      </x:c>
      <x:c r="C18" s="60" t="str">
        <x:v>C. True dan False</x:v>
      </x:c>
      <x:c r="D18" s="60" t="str">
        <x:v>C. True dan False</x:v>
      </x:c>
      <x:c r="E18" s="60" t="n">
        <x:f>IF(C18=D18,1,0)</x:f>
        <x:v>1</x:v>
      </x:c>
      <x:c r="F18" s="61" t="str">
        <x:f>IF(E18=1,"Benar","Salah")</x:f>
        <x:v>Benar</x:v>
      </x:c>
    </x:row>
    <x:row r="19" ht="26.399999618530273" hidden="0" customHeight="1">
      <x:c r="A19" s="59" t="n">
        <x:v>9</x:v>
      </x:c>
      <x:c r="B19" s="60" t="str">
        <x:v>Output dari: string nama = "Budi"; Console.WriteLine($"Halo {nama}");</x:v>
      </x:c>
      <x:c r="C19" s="60" t="str">
        <x:v>B. Halo Budi</x:v>
      </x:c>
      <x:c r="D19" s="60" t="str">
        <x:v>B. Halo Budi</x:v>
      </x:c>
      <x:c r="E19" s="60" t="n">
        <x:f>IF(C19=D19,1,0)</x:f>
        <x:v>1</x:v>
      </x:c>
      <x:c r="F19" s="61" t="str">
        <x:f>IF(E19=1,"Benar","Salah")</x:f>
        <x:v>Benar</x:v>
      </x:c>
    </x:row>
    <x:row r="20" ht="26.399999618530273" hidden="0" customHeight="1">
      <x:c r="A20" s="59" t="n">
        <x:v>10</x:v>
      </x:c>
      <x:c r="B20" s="60" t="str">
        <x:v>Apa fungsi dari: int umur = Convert.ToInt32(Console.ReadLine());</x:v>
      </x:c>
      <x:c r="C20" s="60" t="str">
        <x:v>B. Menerima input dan mengubahnya menjadi int</x:v>
      </x:c>
      <x:c r="D20" s="60" t="str">
        <x:v>B. Menerima input dan mengubahnya menjadi int</x:v>
      </x:c>
      <x:c r="E20" s="60" t="n">
        <x:f>IF(C20=D20,1,0)</x:f>
        <x:v>1</x:v>
      </x:c>
      <x:c r="F20" s="61" t="str">
        <x:f>IF(E20=1,"Benar","Salah")</x:f>
        <x:v>Benar</x:v>
      </x:c>
    </x:row>
    <x:row r="21" ht="15" hidden="0" customHeight="1">
      <x:c r="A21" s="59" t="n">
        <x:v>11</x:v>
      </x:c>
      <x:c r="B21" s="60" t="str">
        <x:v>Hasil dari 10 + 5 adalah...</x:v>
      </x:c>
      <x:c r="C21" s="60" t="str">
        <x:v>B. 15</x:v>
      </x:c>
      <x:c r="D21" s="60" t="str">
        <x:v>B. 15</x:v>
      </x:c>
      <x:c r="E21" s="60" t="n">
        <x:f>IF(C21=D21,1,0)</x:f>
        <x:v>1</x:v>
      </x:c>
      <x:c r="F21" s="61" t="str">
        <x:f>IF(E21=1,"Benar","Salah")</x:f>
        <x:v>Benar</x:v>
      </x:c>
    </x:row>
    <x:row r="22" ht="26.399999618530273" hidden="0" customHeight="1">
      <x:c r="A22" s="59" t="n">
        <x:v>12</x:v>
      </x:c>
      <x:c r="B22" s="60" t="str">
        <x:v>Nilai totalBelanja jika harga = 10000 dan jumlah = 3 adalah...</x:v>
      </x:c>
      <x:c r="C22" s="60" t="str">
        <x:v>C. 30000</x:v>
      </x:c>
      <x:c r="D22" s="60" t="str">
        <x:v>C. 30000</x:v>
      </x:c>
      <x:c r="E22" s="60" t="n">
        <x:f>IF(C22=D22,1,0)</x:f>
        <x:v>1</x:v>
      </x:c>
      <x:c r="F22" s="61" t="str">
        <x:f>IF(E22=1,"Benar","Salah")</x:f>
        <x:v>Benar</x:v>
      </x:c>
    </x:row>
    <x:row r="23" ht="26.399999618530273" hidden="0" customHeight="1">
      <x:c r="A23" s="59" t="n">
        <x:v>13</x:v>
      </x:c>
      <x:c r="B23" s="60" t="str">
        <x:v>Nilai kembalian jika uangPembeli = 50000 dan totalBelanja = 30000 adalah...</x:v>
      </x:c>
      <x:c r="C23" s="60" t="str">
        <x:v>A. 20000</x:v>
      </x:c>
      <x:c r="D23" s="60" t="str">
        <x:v>A. 20000</x:v>
      </x:c>
      <x:c r="E23" s="60" t="n">
        <x:f>IF(C23=D23,1,0)</x:f>
        <x:v>1</x:v>
      </x:c>
      <x:c r="F23" s="61" t="str">
        <x:f>IF(E23=1,"Benar","Salah")</x:f>
        <x:v>Benar</x:v>
      </x:c>
    </x:row>
    <x:row r="24" ht="26.399999618530273" hidden="0" customHeight="1">
      <x:c r="A24" s="59" t="n">
        <x:v>14</x:v>
      </x:c>
      <x:c r="B24" s="60" t="str">
        <x:v>Operator yang digunakan untuk perkalian dalam C# adalah...</x:v>
      </x:c>
      <x:c r="C24" s="60" t="str">
        <x:v>C. *</x:v>
      </x:c>
      <x:c r="D24" s="60" t="str">
        <x:v>C. *</x:v>
      </x:c>
      <x:c r="E24" s="60" t="n">
        <x:f>IF(C24=D24,1,0)</x:f>
        <x:v>1</x:v>
      </x:c>
      <x:c r="F24" s="61" t="str">
        <x:f>IF(E24=1,"Benar","Salah")</x:f>
        <x:v>Benar</x:v>
      </x:c>
    </x:row>
    <x:row r="25" ht="26.399999618530273" hidden="0" customHeight="1">
      <x:c r="A25" s="59" t="n">
        <x:v>15</x:v>
      </x:c>
      <x:c r="B25" s="60" t="str">
        <x:v>Operator yang digunakan untuk mengecek apakah dua nilai sama adalah...</x:v>
      </x:c>
      <x:c r="C25" s="60" t="str">
        <x:v>B. ==</x:v>
      </x:c>
      <x:c r="D25" s="60" t="str">
        <x:v>B. ==</x:v>
      </x:c>
      <x:c r="E25" s="60" t="n">
        <x:f>IF(C25=D25,1,0)</x:f>
        <x:v>1</x:v>
      </x:c>
      <x:c r="F25" s="61" t="str">
        <x:f>IF(E25=1,"Benar","Salah")</x:f>
        <x:v>Benar</x:v>
      </x:c>
    </x:row>
    <x:row r="26" ht="15" hidden="0" customHeight="1">
      <x:c r="A26" s="59" t="n">
        <x:v>16</x:v>
      </x:c>
      <x:c r="B26" s="60" t="str">
        <x:v>Hasil dari: int nilai = 80; bool lulus = nilai &gt;= 75;</x:v>
      </x:c>
      <x:c r="C26" s="60" t="str">
        <x:v>C. True</x:v>
      </x:c>
      <x:c r="D26" s="60" t="str">
        <x:v>C. True</x:v>
      </x:c>
      <x:c r="E26" s="60" t="n">
        <x:f>IF(C26=D26,1,0)</x:f>
        <x:v>1</x:v>
      </x:c>
      <x:c r="F26" s="61" t="str">
        <x:f>IF(E26=1,"Benar","Salah")</x:f>
        <x:v>Benar</x:v>
      </x:c>
    </x:row>
    <x:row r="27" ht="15" hidden="0" customHeight="1">
      <x:c r="A27" s="59" t="n">
        <x:v>17</x:v>
      </x:c>
      <x:c r="B27" s="60" t="str">
        <x:v>Hasil dari: Console.WriteLine(10 &lt; 5);</x:v>
      </x:c>
      <x:c r="C27" s="60" t="str">
        <x:v>D. False</x:v>
      </x:c>
      <x:c r="D27" s="60" t="str">
        <x:v>D. False</x:v>
      </x:c>
      <x:c r="E27" s="60" t="n">
        <x:f>IF(C27=D27,1,0)</x:f>
        <x:v>1</x:v>
      </x:c>
      <x:c r="F27" s="61" t="str">
        <x:f>IF(E27=1,"Benar","Salah")</x:f>
        <x:v>Benar</x:v>
      </x:c>
    </x:row>
    <x:row r="28" ht="15" hidden="0" customHeight="1">
      <x:c r="A28" s="59" t="n">
        <x:v>18</x:v>
      </x:c>
      <x:c r="B28" s="60" t="str">
        <x:v>Operator != memiliki arti...</x:v>
      </x:c>
      <x:c r="C28" s="60" t="str">
        <x:v>C. Tidak sama dengan</x:v>
      </x:c>
      <x:c r="D28" s="60" t="str">
        <x:v>C. Tidak sama dengan</x:v>
      </x:c>
      <x:c r="E28" s="60" t="n">
        <x:f>IF(C28=D28,1,0)</x:f>
        <x:v>1</x:v>
      </x:c>
      <x:c r="F28" s="61" t="str">
        <x:f>IF(E28=1,"Benar","Salah")</x:f>
        <x:v>Benar</x:v>
      </x:c>
    </x:row>
    <x:row r="29" ht="26.399999618530273" hidden="0" customHeight="1">
      <x:c r="A29" s="62" t="n">
        <x:v>19</x:v>
      </x:c>
      <x:c r="B29" s="63" t="str">
        <x:v>Jika harga=15000, jumlah=2, uang=50000, berapa total, kembalian, dan uangCukup?</x:v>
      </x:c>
      <x:c r="C29" s="63" t="str">
        <x:v>A. 30000, 20000, True</x:v>
      </x:c>
      <x:c r="D29" s="63" t="str">
        <x:v>A. 30000, 20000, True</x:v>
      </x:c>
      <x:c r="E29" s="63" t="n">
        <x:f>IF(C29=D29,1,0)</x:f>
        <x:v>1</x:v>
      </x:c>
      <x:c r="F29" s="64" t="str">
        <x:f>IF(E29=1,"Benar","Salah")</x:f>
        <x:v>Benar</x:v>
      </x:c>
    </x:row>
    <x:row r="32">
      <x:c r="A32" s="138" t="str">
        <x:v>Feedback Belajar</x:v>
      </x:c>
      <x:c r="B32" s="138"/>
      <x:c r="C32" s="138"/>
      <x:c r="D32" s="138"/>
      <x:c r="E32" s="138"/>
      <x:c r="F32" s="138"/>
    </x:row>
    <x:row r="33">
      <x:c r="A33" s="149" t="str">
        <x:v>Hasil evaluasi</x:v>
      </x:c>
      <x:c r="B33" s="57" t="str">
        <x:v>Semua jawaban benar pada 19 soal yang tersedia.</x:v>
      </x:c>
      <x:c r="C33" s="57"/>
      <x:c r="D33" s="57"/>
      <x:c r="E33" s="57"/>
      <x:c r="F33" s="58"/>
    </x:row>
    <x:row r="34">
      <x:c r="A34" s="150" t="str">
        <x:v>Saran belajar</x:v>
      </x:c>
      <x:c r="B34" s="63" t="str">
        <x:v>Pertahankan pemahaman dasar C#. Bisa lanjut ke decision making menggunakan if/else sambil tetap berlatih membaca alur kode.</x:v>
      </x:c>
      <x:c r="C34" s="63"/>
      <x:c r="D34" s="63"/>
      <x:c r="E34" s="63"/>
      <x:c r="F34" s="64"/>
    </x:row>
  </x:sheetData>
  <x:mergeCells>
    <x:mergeCell ref="A1:F1"/>
    <x:mergeCell ref="A32:F32"/>
    <x:mergeCell ref="B33:F33"/>
    <x:mergeCell ref="B34:F34"/>
  </x:mergeCells>
  <x:conditionalFormatting sqref="F11:F29">
    <x:cfRule type="expression" dxfId="2" priority="1">
      <x:formula>F11="Benar"</x:formula>
    </x:cfRule>
    <x:cfRule type="expression" dxfId="3" priority="2">
      <x:formula>F11="Salah"</x:formula>
    </x:cfRule>
  </x:conditionalFormatting>
  <x:conditionalFormatting sqref="B7:B7">
    <x:cfRule type="expression" dxfId="4" priority="3">
      <x:formula>B7="Lulus"</x:formula>
    </x:cfRule>
    <x:cfRule type="expression" dxfId="5" priority="4">
      <x:formula>B7="Belum Lulus"</x:formula>
    </x:cfRule>
  </x:conditionalFormatting>
  <x:pageMargins left="0.7" right="0.7" top="0.75" bottom="0.75" header="0.3" footer="0.3"/>
  <x:drawing xmlns:r="http://schemas.openxmlformats.org/officeDocument/2006/relationships" r:id="R2334f4d934364aa8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34" hidden="0" customWidth="1"/>
    <x:col min="4" max="4" width="34" hidden="0" customWidth="1"/>
    <x:col min="5" max="5" width="9" hidden="0" customWidth="1"/>
    <x:col min="6" max="6" width="14" hidden="0" customWidth="1"/>
    <x:col min="8" max="8" width="18" hidden="0" customWidth="1"/>
    <x:col min="9" max="9" width="12" hidden="0" customWidth="1"/>
  </x:cols>
  <x:sheetData>
    <x:row r="1" ht="28" customHeight="1">
      <x:c r="A1" s="5" t="str">
        <x:v>Penilaian C# Dasar — Intan Zahra Wulanti</x:v>
      </x:c>
      <x:c r="B1" s="5"/>
      <x:c r="C1" s="5"/>
      <x:c r="D1" s="5"/>
      <x:c r="E1" s="5"/>
      <x:c r="F1" s="5"/>
    </x:row>
    <x:row r="3">
      <x:c r="A3" s="121" t="str">
        <x:v>Nama</x:v>
      </x:c>
      <x:c r="B3" s="58" t="str">
        <x:v>Intan Zahra Wulanti</x:v>
      </x:c>
      <x:c r="D3" s="121" t="str">
        <x:v>Benar</x:v>
      </x:c>
      <x:c r="E3" s="58" t="n">
        <x:f>SUM(E11:E29)</x:f>
        <x:v>18</x:v>
      </x:c>
      <x:c r="H3" s="21" t="str">
        <x:v>Hasil</x:v>
      </x:c>
      <x:c r="I3" s="23" t="str">
        <x:v>Jumlah</x:v>
      </x:c>
    </x:row>
    <x:row r="4">
      <x:c r="A4" s="122" t="str">
        <x:v>Kelas</x:v>
      </x:c>
      <x:c r="B4" s="61" t="str">
        <x:v>X RPL 1</x:v>
      </x:c>
      <x:c r="D4" s="122" t="str">
        <x:v>Salah</x:v>
      </x:c>
      <x:c r="E4" s="61" t="n">
        <x:f>19-E3</x:f>
        <x:v>1</x:v>
      </x:c>
      <x:c r="H4" s="56" t="str">
        <x:v>Benar</x:v>
      </x:c>
      <x:c r="I4" s="58" t="n">
        <x:f>E3</x:f>
        <x:v>18</x:v>
      </x:c>
    </x:row>
    <x:row r="5">
      <x:c r="A5" s="122" t="str">
        <x:v>Jumlah Soal</x:v>
      </x:c>
      <x:c r="B5" s="61" t="n">
        <x:v>19</x:v>
      </x:c>
      <x:c r="D5" s="122" t="str">
        <x:v>Nilai</x:v>
      </x:c>
      <x:c r="E5" s="133" t="n">
        <x:f>E3/19*100</x:f>
        <x:v>94.73684210526315</x:v>
      </x:c>
      <x:c r="H5" s="62" t="str">
        <x:v>Salah</x:v>
      </x:c>
      <x:c r="I5" s="64" t="n">
        <x:f>E4</x:f>
        <x:v>1</x:v>
      </x:c>
    </x:row>
    <x:row r="6">
      <x:c r="A6" s="122" t="str">
        <x:v>KKM</x:v>
      </x:c>
      <x:c r="B6" s="61" t="n">
        <x:v>75</x:v>
      </x:c>
      <x:c r="D6" s="122" t="str">
        <x:v>Persentase Benar</x:v>
      </x:c>
      <x:c r="E6" s="135" t="n">
        <x:f>E3/19</x:f>
        <x:v>0.9473684210526315</x:v>
      </x:c>
    </x:row>
    <x:row r="7">
      <x:c r="A7" s="123" t="str">
        <x:v>Status</x:v>
      </x:c>
      <x:c r="B7" s="64" t="str">
        <x:f>IF(E5&gt;=B6,"Lulus","Belum Lulus")</x:f>
        <x:v>Lulus</x:v>
      </x:c>
      <x:c r="D7" s="123" t="str">
        <x:v>Catatan</x:v>
      </x:c>
      <x:c r="E7" s="64" t="str">
        <x:v>Berdasarkan 19 jawaban yang tersedia</x:v>
      </x:c>
    </x:row>
    <x:row r="8">
      <x:c r="H8" s="21" t="str">
        <x:v>Pembanding</x:v>
      </x:c>
      <x:c r="I8" s="23" t="str">
        <x:v>Nilai</x:v>
      </x:c>
    </x:row>
    <x:row r="9">
      <x:c r="H9" s="56" t="str">
        <x:v>Nilai Siswa</x:v>
      </x:c>
      <x:c r="I9" s="58" t="n">
        <x:f>E5</x:f>
        <x:v>94.73684210526315</x:v>
      </x:c>
    </x:row>
    <x:row r="10" ht="15" hidden="0" customHeight="1">
      <x:c r="A10" s="21" t="str">
        <x:v>No</x:v>
      </x:c>
      <x:c r="B10" s="22" t="str">
        <x:v>Soal / Materi</x:v>
      </x:c>
      <x:c r="C10" s="22" t="str">
        <x:v>Jawaban Siswa</x:v>
      </x:c>
      <x:c r="D10" s="22" t="str">
        <x:v>Kunci Jawaban</x:v>
      </x:c>
      <x:c r="E10" s="22" t="str">
        <x:v>Poin</x:v>
      </x:c>
      <x:c r="F10" s="23" t="str">
        <x:v>Keterangan</x:v>
      </x:c>
      <x:c r="H10" s="62" t="str">
        <x:v>KKM</x:v>
      </x:c>
      <x:c r="I10" s="64" t="n">
        <x:v>75</x:v>
      </x:c>
    </x:row>
    <x:row r="11" ht="26.399999618530273" hidden="0" customHeight="1">
      <x:c r="A11" s="56" t="n">
        <x:v>1</x:v>
      </x:c>
      <x:c r="B11" s="57" t="str">
        <x:v>File utama yang biasanya digunakan untuk menulis kode pada Console App C# adalah...</x:v>
      </x:c>
      <x:c r="C11" s="57" t="str">
        <x:v>Program.cs</x:v>
      </x:c>
      <x:c r="D11" s="57" t="str">
        <x:v>Program.cs</x:v>
      </x:c>
      <x:c r="E11" s="57" t="n">
        <x:f>IF(C11=D11,1,0)</x:f>
        <x:v>1</x:v>
      </x:c>
      <x:c r="F11" s="58" t="str">
        <x:f>IF(E11=1,"Benar","Salah")</x:f>
        <x:v>Benar</x:v>
      </x:c>
    </x:row>
    <x:row r="12" ht="39.599998474121094" hidden="0" customHeight="1">
      <x:c r="A12" s="59" t="n">
        <x:v>2</x:v>
      </x:c>
      <x:c r="B12" s="60" t="str">
        <x:v>Perintah yang digunakan untuk menampilkan tulisan ke layar dan berpindah ke baris berikutnya adalah...</x:v>
      </x:c>
      <x:c r="C12" s="60" t="str">
        <x:v>Console.WriteLine()</x:v>
      </x:c>
      <x:c r="D12" s="60" t="str">
        <x:v>Console.WriteLine()</x:v>
      </x:c>
      <x:c r="E12" s="60" t="n">
        <x:f>IF(C12=D12,1,0)</x:f>
        <x:v>1</x:v>
      </x:c>
      <x:c r="F12" s="61" t="str">
        <x:f>IF(E12=1,"Benar","Salah")</x:f>
        <x:v>Benar</x:v>
      </x:c>
    </x:row>
    <x:row r="13" ht="26.399999618530273" hidden="0" customHeight="1">
      <x:c r="A13" s="59" t="n">
        <x:v>3</x:v>
      </x:c>
      <x:c r="B13" s="60" t="str">
        <x:v>Apa perbedaan utama Console.Write() dan Console.WriteLine()?</x:v>
      </x:c>
      <x:c r="C13" s="60" t="str">
        <x:v>Console.WriteLine() berpindah ke baris baru setelah menampilkan output</x:v>
      </x:c>
      <x:c r="D13" s="60" t="str">
        <x:v>Console.WriteLine() berpindah ke baris baru setelah menampilkan output</x:v>
      </x:c>
      <x:c r="E13" s="60" t="n">
        <x:f>IF(C13=D13,1,0)</x:f>
        <x:v>1</x:v>
      </x:c>
      <x:c r="F13" s="61" t="str">
        <x:f>IF(E13=1,"Benar","Salah")</x:f>
        <x:v>Benar</x:v>
      </x:c>
    </x:row>
    <x:row r="14" ht="26.399999618530273" hidden="0" customHeight="1">
      <x:c r="A14" s="59" t="n">
        <x:v>4</x:v>
      </x:c>
      <x:c r="B14" s="60" t="str">
        <x:v>Perintah yang digunakan untuk menerima input dari pengguna adalah...</x:v>
      </x:c>
      <x:c r="C14" s="60" t="str">
        <x:v>Console.ReadLine()</x:v>
      </x:c>
      <x:c r="D14" s="60" t="str">
        <x:v>Console.ReadLine()</x:v>
      </x:c>
      <x:c r="E14" s="60" t="n">
        <x:f>IF(C14=D14,1,0)</x:f>
        <x:v>1</x:v>
      </x:c>
      <x:c r="F14" s="61" t="str">
        <x:f>IF(E14=1,"Benar","Salah")</x:f>
        <x:v>Benar</x:v>
      </x:c>
    </x:row>
    <x:row r="15" ht="26.399999618530273" hidden="0" customHeight="1">
      <x:c r="A15" s="59" t="n">
        <x:v>5</x:v>
      </x:c>
      <x:c r="B15" s="60" t="str">
        <x:v>Manakah deklarasi variable yang benar untuk menyimpan nama siswa?</x:v>
      </x:c>
      <x:c r="C15" s="60" t="str">
        <x:v>B. string nama = "Andi";</x:v>
      </x:c>
      <x:c r="D15" s="60" t="str">
        <x:v>B. string nama = "Andi";</x:v>
      </x:c>
      <x:c r="E15" s="60" t="n">
        <x:f>IF(C15=D15,1,0)</x:f>
        <x:v>1</x:v>
      </x:c>
      <x:c r="F15" s="61" t="str">
        <x:f>IF(E15=1,"Benar","Salah")</x:f>
        <x:v>Benar</x:v>
      </x:c>
    </x:row>
    <x:row r="16" ht="26.399999618530273" hidden="0" customHeight="1">
      <x:c r="A16" s="59" t="n">
        <x:v>6</x:v>
      </x:c>
      <x:c r="B16" s="60" t="str">
        <x:v>Tipe data yang sesuai untuk menyimpan angka 17 adalah...</x:v>
      </x:c>
      <x:c r="C16" s="60" t="str">
        <x:v>C. int</x:v>
      </x:c>
      <x:c r="D16" s="60" t="str">
        <x:v>C. int</x:v>
      </x:c>
      <x:c r="E16" s="60" t="n">
        <x:f>IF(C16=D16,1,0)</x:f>
        <x:v>1</x:v>
      </x:c>
      <x:c r="F16" s="61" t="str">
        <x:f>IF(E16=1,"Benar","Salah")</x:f>
        <x:v>Benar</x:v>
      </x:c>
    </x:row>
    <x:row r="17" ht="26.399999618530273" hidden="0" customHeight="1">
      <x:c r="A17" s="59" t="n">
        <x:v>7</x:v>
      </x:c>
      <x:c r="B17" s="60" t="str">
        <x:v>Tipe data yang cocok untuk menyimpan nilai 85.5 adalah...</x:v>
      </x:c>
      <x:c r="C17" s="60" t="str">
        <x:v>B. double</x:v>
      </x:c>
      <x:c r="D17" s="60" t="str">
        <x:v>B. double</x:v>
      </x:c>
      <x:c r="E17" s="60" t="n">
        <x:f>IF(C17=D17,1,0)</x:f>
        <x:v>1</x:v>
      </x:c>
      <x:c r="F17" s="61" t="str">
        <x:f>IF(E17=1,"Benar","Salah")</x:f>
        <x:v>Benar</x:v>
      </x:c>
    </x:row>
    <x:row r="18" ht="15" hidden="0" customHeight="1">
      <x:c r="A18" s="59" t="n">
        <x:v>8</x:v>
      </x:c>
      <x:c r="B18" s="60" t="str">
        <x:v>Tipe data bool hanya dapat menyimpan nilai...</x:v>
      </x:c>
      <x:c r="C18" s="60" t="str">
        <x:v>C. True dan False</x:v>
      </x:c>
      <x:c r="D18" s="60" t="str">
        <x:v>C. True dan False</x:v>
      </x:c>
      <x:c r="E18" s="60" t="n">
        <x:f>IF(C18=D18,1,0)</x:f>
        <x:v>1</x:v>
      </x:c>
      <x:c r="F18" s="61" t="str">
        <x:f>IF(E18=1,"Benar","Salah")</x:f>
        <x:v>Benar</x:v>
      </x:c>
    </x:row>
    <x:row r="19" ht="26.399999618530273" hidden="0" customHeight="1">
      <x:c r="A19" s="59" t="n">
        <x:v>9</x:v>
      </x:c>
      <x:c r="B19" s="60" t="str">
        <x:v>Output dari: string nama = "Budi"; Console.WriteLine($"Halo {nama}");</x:v>
      </x:c>
      <x:c r="C19" s="60" t="str">
        <x:v>B. Halo Budi</x:v>
      </x:c>
      <x:c r="D19" s="60" t="str">
        <x:v>B. Halo Budi</x:v>
      </x:c>
      <x:c r="E19" s="60" t="n">
        <x:f>IF(C19=D19,1,0)</x:f>
        <x:v>1</x:v>
      </x:c>
      <x:c r="F19" s="61" t="str">
        <x:f>IF(E19=1,"Benar","Salah")</x:f>
        <x:v>Benar</x:v>
      </x:c>
    </x:row>
    <x:row r="20" ht="26.399999618530273" hidden="0" customHeight="1">
      <x:c r="A20" s="59" t="n">
        <x:v>10</x:v>
      </x:c>
      <x:c r="B20" s="60" t="str">
        <x:v>Apa fungsi dari: int umur = Convert.ToInt32(Console.ReadLine());</x:v>
      </x:c>
      <x:c r="C20" s="60" t="str">
        <x:v>B. Menerima input dan mengubahnya menjadi int</x:v>
      </x:c>
      <x:c r="D20" s="60" t="str">
        <x:v>B. Menerima input dan mengubahnya menjadi int</x:v>
      </x:c>
      <x:c r="E20" s="60" t="n">
        <x:f>IF(C20=D20,1,0)</x:f>
        <x:v>1</x:v>
      </x:c>
      <x:c r="F20" s="61" t="str">
        <x:f>IF(E20=1,"Benar","Salah")</x:f>
        <x:v>Benar</x:v>
      </x:c>
    </x:row>
    <x:row r="21" ht="15" hidden="0" customHeight="1">
      <x:c r="A21" s="59" t="n">
        <x:v>11</x:v>
      </x:c>
      <x:c r="B21" s="60" t="str">
        <x:v>Hasil dari 10 + 5 adalah...</x:v>
      </x:c>
      <x:c r="C21" s="60" t="str">
        <x:v>B. 15</x:v>
      </x:c>
      <x:c r="D21" s="60" t="str">
        <x:v>B. 15</x:v>
      </x:c>
      <x:c r="E21" s="60" t="n">
        <x:f>IF(C21=D21,1,0)</x:f>
        <x:v>1</x:v>
      </x:c>
      <x:c r="F21" s="61" t="str">
        <x:f>IF(E21=1,"Benar","Salah")</x:f>
        <x:v>Benar</x:v>
      </x:c>
    </x:row>
    <x:row r="22" ht="26.399999618530273" hidden="0" customHeight="1">
      <x:c r="A22" s="59" t="n">
        <x:v>12</x:v>
      </x:c>
      <x:c r="B22" s="60" t="str">
        <x:v>Nilai totalBelanja jika harga = 10000 dan jumlah = 3 adalah...</x:v>
      </x:c>
      <x:c r="C22" s="60" t="str">
        <x:v>C. 30000</x:v>
      </x:c>
      <x:c r="D22" s="60" t="str">
        <x:v>C. 30000</x:v>
      </x:c>
      <x:c r="E22" s="60" t="n">
        <x:f>IF(C22=D22,1,0)</x:f>
        <x:v>1</x:v>
      </x:c>
      <x:c r="F22" s="61" t="str">
        <x:f>IF(E22=1,"Benar","Salah")</x:f>
        <x:v>Benar</x:v>
      </x:c>
    </x:row>
    <x:row r="23" ht="26.399999618530273" hidden="0" customHeight="1">
      <x:c r="A23" s="59" t="n">
        <x:v>13</x:v>
      </x:c>
      <x:c r="B23" s="60" t="str">
        <x:v>Nilai kembalian jika uangPembeli = 50000 dan totalBelanja = 30000 adalah...</x:v>
      </x:c>
      <x:c r="C23" s="60" t="str">
        <x:v>A. 20000</x:v>
      </x:c>
      <x:c r="D23" s="60" t="str">
        <x:v>A. 20000</x:v>
      </x:c>
      <x:c r="E23" s="60" t="n">
        <x:f>IF(C23=D23,1,0)</x:f>
        <x:v>1</x:v>
      </x:c>
      <x:c r="F23" s="61" t="str">
        <x:f>IF(E23=1,"Benar","Salah")</x:f>
        <x:v>Benar</x:v>
      </x:c>
    </x:row>
    <x:row r="24" ht="26.399999618530273" hidden="0" customHeight="1">
      <x:c r="A24" s="59" t="n">
        <x:v>14</x:v>
      </x:c>
      <x:c r="B24" s="60" t="str">
        <x:v>Operator yang digunakan untuk perkalian dalam C# adalah...</x:v>
      </x:c>
      <x:c r="C24" s="60" t="str">
        <x:v>C. *</x:v>
      </x:c>
      <x:c r="D24" s="60" t="str">
        <x:v>C. *</x:v>
      </x:c>
      <x:c r="E24" s="60" t="n">
        <x:f>IF(C24=D24,1,0)</x:f>
        <x:v>1</x:v>
      </x:c>
      <x:c r="F24" s="61" t="str">
        <x:f>IF(E24=1,"Benar","Salah")</x:f>
        <x:v>Benar</x:v>
      </x:c>
    </x:row>
    <x:row r="25" ht="26.399999618530273" hidden="0" customHeight="1">
      <x:c r="A25" s="59" t="n">
        <x:v>15</x:v>
      </x:c>
      <x:c r="B25" s="60" t="str">
        <x:v>Operator yang digunakan untuk mengecek apakah dua nilai sama adalah...</x:v>
      </x:c>
      <x:c r="C25" s="60" t="str">
        <x:v>B. ==</x:v>
      </x:c>
      <x:c r="D25" s="60" t="str">
        <x:v>B. ==</x:v>
      </x:c>
      <x:c r="E25" s="60" t="n">
        <x:f>IF(C25=D25,1,0)</x:f>
        <x:v>1</x:v>
      </x:c>
      <x:c r="F25" s="61" t="str">
        <x:f>IF(E25=1,"Benar","Salah")</x:f>
        <x:v>Benar</x:v>
      </x:c>
    </x:row>
    <x:row r="26" ht="15" hidden="0" customHeight="1">
      <x:c r="A26" s="59" t="n">
        <x:v>16</x:v>
      </x:c>
      <x:c r="B26" s="60" t="str">
        <x:v>Hasil dari: int nilai = 80; bool lulus = nilai &gt;= 75;</x:v>
      </x:c>
      <x:c r="C26" s="60" t="str">
        <x:v>C. True</x:v>
      </x:c>
      <x:c r="D26" s="60" t="str">
        <x:v>C. True</x:v>
      </x:c>
      <x:c r="E26" s="60" t="n">
        <x:f>IF(C26=D26,1,0)</x:f>
        <x:v>1</x:v>
      </x:c>
      <x:c r="F26" s="61" t="str">
        <x:f>IF(E26=1,"Benar","Salah")</x:f>
        <x:v>Benar</x:v>
      </x:c>
    </x:row>
    <x:row r="27" ht="15" hidden="0" customHeight="1">
      <x:c r="A27" s="59" t="n">
        <x:v>17</x:v>
      </x:c>
      <x:c r="B27" s="60" t="str">
        <x:v>Hasil dari: Console.WriteLine(10 &lt; 5);</x:v>
      </x:c>
      <x:c r="C27" s="60" t="str">
        <x:v>D. False</x:v>
      </x:c>
      <x:c r="D27" s="60" t="str">
        <x:v>D. False</x:v>
      </x:c>
      <x:c r="E27" s="60" t="n">
        <x:f>IF(C27=D27,1,0)</x:f>
        <x:v>1</x:v>
      </x:c>
      <x:c r="F27" s="61" t="str">
        <x:f>IF(E27=1,"Benar","Salah")</x:f>
        <x:v>Benar</x:v>
      </x:c>
    </x:row>
    <x:row r="28" ht="15" hidden="0" customHeight="1">
      <x:c r="A28" s="59" t="n">
        <x:v>18</x:v>
      </x:c>
      <x:c r="B28" s="60" t="str">
        <x:v>Operator != memiliki arti...</x:v>
      </x:c>
      <x:c r="C28" s="60" t="str">
        <x:v>C. Tidak sama dengan</x:v>
      </x:c>
      <x:c r="D28" s="60" t="str">
        <x:v>C. Tidak sama dengan</x:v>
      </x:c>
      <x:c r="E28" s="60" t="n">
        <x:f>IF(C28=D28,1,0)</x:f>
        <x:v>1</x:v>
      </x:c>
      <x:c r="F28" s="61" t="str">
        <x:f>IF(E28=1,"Benar","Salah")</x:f>
        <x:v>Benar</x:v>
      </x:c>
    </x:row>
    <x:row r="29" ht="26.399999618530273" hidden="0" customHeight="1">
      <x:c r="A29" s="62" t="n">
        <x:v>19</x:v>
      </x:c>
      <x:c r="B29" s="63" t="str">
        <x:v>Jika harga=15000, jumlah=2, uang=50000, berapa total, kembalian, dan uangCukup?</x:v>
      </x:c>
      <x:c r="C29" s="63" t="str">
        <x:v>B. 17000, 33000, True</x:v>
      </x:c>
      <x:c r="D29" s="63" t="str">
        <x:v>A. 30000, 20000, True</x:v>
      </x:c>
      <x:c r="E29" s="63" t="n">
        <x:f>IF(C29=D29,1,0)</x:f>
        <x:v>0</x:v>
      </x:c>
      <x:c r="F29" s="64" t="str">
        <x:f>IF(E29=1,"Benar","Salah")</x:f>
        <x:v>Salah</x:v>
      </x:c>
    </x:row>
    <x:row r="32">
      <x:c r="A32" s="138" t="str">
        <x:v>Feedback Belajar</x:v>
      </x:c>
      <x:c r="B32" s="138"/>
      <x:c r="C32" s="138"/>
      <x:c r="D32" s="138"/>
      <x:c r="E32" s="138"/>
      <x:c r="F32" s="138"/>
    </x:row>
    <x:row r="33">
      <x:c r="A33" s="149" t="str">
        <x:v>Materi yang perlu diperkuat</x:v>
      </x:c>
      <x:c r="B33" s="57" t="str">
        <x:v>Membaca operasi aritmatika bertahap dalam satu potongan program.</x:v>
      </x:c>
      <x:c r="C33" s="57"/>
      <x:c r="D33" s="57"/>
      <x:c r="E33" s="57"/>
      <x:c r="F33" s="58"/>
    </x:row>
    <x:row r="34">
      <x:c r="A34" s="159" t="str">
        <x:v>Kesalahan utama</x:v>
      </x:c>
      <x:c r="B34" s="60" t="str">
        <x:v>Pada soal terakhir, total seharusnya 15000 × 2 = 30000 dan kembalian 50000 - 30000 = 20000.</x:v>
      </x:c>
      <x:c r="C34" s="60"/>
      <x:c r="D34" s="60"/>
      <x:c r="E34" s="60"/>
      <x:c r="F34" s="61"/>
    </x:row>
    <x:row r="35">
      <x:c r="A35" s="150" t="str">
        <x:v>Saran belajar</x:v>
      </x:c>
      <x:c r="B35" s="63" t="str">
        <x:v>Biasakan menuliskan nilai setiap variable secara berurutan sebelum menentukan output akhir.</x:v>
      </x:c>
      <x:c r="C35" s="63"/>
      <x:c r="D35" s="63"/>
      <x:c r="E35" s="63"/>
      <x:c r="F35" s="64"/>
    </x:row>
  </x:sheetData>
  <x:mergeCells>
    <x:mergeCell ref="A1:F1"/>
    <x:mergeCell ref="A32:F32"/>
    <x:mergeCell ref="B33:F33"/>
    <x:mergeCell ref="B34:F34"/>
    <x:mergeCell ref="B35:F35"/>
  </x:mergeCells>
  <x:conditionalFormatting sqref="F11:F29">
    <x:cfRule type="expression" dxfId="6" priority="1">
      <x:formula>F11="Benar"</x:formula>
    </x:cfRule>
    <x:cfRule type="expression" dxfId="7" priority="2">
      <x:formula>F11="Salah"</x:formula>
    </x:cfRule>
  </x:conditionalFormatting>
  <x:conditionalFormatting sqref="B7:B7">
    <x:cfRule type="expression" dxfId="8" priority="3">
      <x:formula>B7="Lulus"</x:formula>
    </x:cfRule>
    <x:cfRule type="expression" dxfId="9" priority="4">
      <x:formula>B7="Belum Lulus"</x:formula>
    </x:cfRule>
  </x:conditionalFormatting>
  <x:pageMargins left="0.7" right="0.7" top="0.75" bottom="0.75" header="0.3" footer="0.3"/>
  <x:drawing xmlns:r="http://schemas.openxmlformats.org/officeDocument/2006/relationships" r:id="R4a41faba2494422c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34" hidden="0" customWidth="1"/>
    <x:col min="4" max="4" width="34" hidden="0" customWidth="1"/>
    <x:col min="5" max="5" width="9" hidden="0" customWidth="1"/>
    <x:col min="6" max="6" width="14" hidden="0" customWidth="1"/>
    <x:col min="8" max="8" width="18" hidden="0" customWidth="1"/>
    <x:col min="9" max="9" width="12" hidden="0" customWidth="1"/>
  </x:cols>
  <x:sheetData>
    <x:row r="1" ht="28" customHeight="1">
      <x:c r="A1" s="5" t="str">
        <x:v>Penilaian C# Dasar — Valen Putra Ariansyah</x:v>
      </x:c>
      <x:c r="B1" s="5"/>
      <x:c r="C1" s="5"/>
      <x:c r="D1" s="5"/>
      <x:c r="E1" s="5"/>
      <x:c r="F1" s="5"/>
    </x:row>
    <x:row r="3">
      <x:c r="A3" s="121" t="str">
        <x:v>Nama</x:v>
      </x:c>
      <x:c r="B3" s="58" t="str">
        <x:v>Valen Putra Ariansyah</x:v>
      </x:c>
      <x:c r="D3" s="121" t="str">
        <x:v>Benar</x:v>
      </x:c>
      <x:c r="E3" s="58" t="n">
        <x:f>SUM(E11:E29)</x:f>
        <x:v>16</x:v>
      </x:c>
      <x:c r="H3" s="21" t="str">
        <x:v>Hasil</x:v>
      </x:c>
      <x:c r="I3" s="23" t="str">
        <x:v>Jumlah</x:v>
      </x:c>
    </x:row>
    <x:row r="4">
      <x:c r="A4" s="122" t="str">
        <x:v>Kelas</x:v>
      </x:c>
      <x:c r="B4" s="61" t="str">
        <x:v>X RPL 1</x:v>
      </x:c>
      <x:c r="D4" s="122" t="str">
        <x:v>Salah</x:v>
      </x:c>
      <x:c r="E4" s="61" t="n">
        <x:f>19-E3</x:f>
        <x:v>3</x:v>
      </x:c>
      <x:c r="H4" s="56" t="str">
        <x:v>Benar</x:v>
      </x:c>
      <x:c r="I4" s="58" t="n">
        <x:f>E3</x:f>
        <x:v>16</x:v>
      </x:c>
    </x:row>
    <x:row r="5">
      <x:c r="A5" s="122" t="str">
        <x:v>Jumlah Soal</x:v>
      </x:c>
      <x:c r="B5" s="61" t="n">
        <x:v>19</x:v>
      </x:c>
      <x:c r="D5" s="122" t="str">
        <x:v>Nilai</x:v>
      </x:c>
      <x:c r="E5" s="133" t="n">
        <x:f>E3/19*100</x:f>
        <x:v>84.21052631578947</x:v>
      </x:c>
      <x:c r="H5" s="62" t="str">
        <x:v>Salah</x:v>
      </x:c>
      <x:c r="I5" s="64" t="n">
        <x:f>E4</x:f>
        <x:v>3</x:v>
      </x:c>
    </x:row>
    <x:row r="6">
      <x:c r="A6" s="122" t="str">
        <x:v>KKM</x:v>
      </x:c>
      <x:c r="B6" s="61" t="n">
        <x:v>75</x:v>
      </x:c>
      <x:c r="D6" s="122" t="str">
        <x:v>Persentase Benar</x:v>
      </x:c>
      <x:c r="E6" s="135" t="n">
        <x:f>E3/19</x:f>
        <x:v>0.8421052631578947</x:v>
      </x:c>
    </x:row>
    <x:row r="7">
      <x:c r="A7" s="123" t="str">
        <x:v>Status</x:v>
      </x:c>
      <x:c r="B7" s="64" t="str">
        <x:f>IF(E5&gt;=B6,"Lulus","Belum Lulus")</x:f>
        <x:v>Lulus</x:v>
      </x:c>
      <x:c r="D7" s="123" t="str">
        <x:v>Catatan</x:v>
      </x:c>
      <x:c r="E7" s="64" t="str">
        <x:v>Berdasarkan 19 jawaban yang tersedia</x:v>
      </x:c>
    </x:row>
    <x:row r="8">
      <x:c r="H8" s="21" t="str">
        <x:v>Pembanding</x:v>
      </x:c>
      <x:c r="I8" s="23" t="str">
        <x:v>Nilai</x:v>
      </x:c>
    </x:row>
    <x:row r="9">
      <x:c r="H9" s="56" t="str">
        <x:v>Nilai Siswa</x:v>
      </x:c>
      <x:c r="I9" s="58" t="n">
        <x:f>E5</x:f>
        <x:v>84.21052631578947</x:v>
      </x:c>
    </x:row>
    <x:row r="10" ht="15" hidden="0" customHeight="1">
      <x:c r="A10" s="21" t="str">
        <x:v>No</x:v>
      </x:c>
      <x:c r="B10" s="22" t="str">
        <x:v>Soal / Materi</x:v>
      </x:c>
      <x:c r="C10" s="22" t="str">
        <x:v>Jawaban Siswa</x:v>
      </x:c>
      <x:c r="D10" s="22" t="str">
        <x:v>Kunci Jawaban</x:v>
      </x:c>
      <x:c r="E10" s="22" t="str">
        <x:v>Poin</x:v>
      </x:c>
      <x:c r="F10" s="23" t="str">
        <x:v>Keterangan</x:v>
      </x:c>
      <x:c r="H10" s="62" t="str">
        <x:v>KKM</x:v>
      </x:c>
      <x:c r="I10" s="64" t="n">
        <x:v>75</x:v>
      </x:c>
    </x:row>
    <x:row r="11" ht="26.399999618530273" hidden="0" customHeight="1">
      <x:c r="A11" s="56" t="n">
        <x:v>1</x:v>
      </x:c>
      <x:c r="B11" s="57" t="str">
        <x:v>File utama yang biasanya digunakan untuk menulis kode pada Console App C# adalah...</x:v>
      </x:c>
      <x:c r="C11" s="57" t="str">
        <x:v>Program.cs</x:v>
      </x:c>
      <x:c r="D11" s="57" t="str">
        <x:v>Program.cs</x:v>
      </x:c>
      <x:c r="E11" s="57" t="n">
        <x:f>IF(C11=D11,1,0)</x:f>
        <x:v>1</x:v>
      </x:c>
      <x:c r="F11" s="58" t="str">
        <x:f>IF(E11=1,"Benar","Salah")</x:f>
        <x:v>Benar</x:v>
      </x:c>
    </x:row>
    <x:row r="12" ht="39.599998474121094" hidden="0" customHeight="1">
      <x:c r="A12" s="59" t="n">
        <x:v>2</x:v>
      </x:c>
      <x:c r="B12" s="60" t="str">
        <x:v>Perintah yang digunakan untuk menampilkan tulisan ke layar dan berpindah ke baris berikutnya adalah...</x:v>
      </x:c>
      <x:c r="C12" s="60" t="str">
        <x:v>Console.WriteLine()</x:v>
      </x:c>
      <x:c r="D12" s="60" t="str">
        <x:v>Console.WriteLine()</x:v>
      </x:c>
      <x:c r="E12" s="60" t="n">
        <x:f>IF(C12=D12,1,0)</x:f>
        <x:v>1</x:v>
      </x:c>
      <x:c r="F12" s="61" t="str">
        <x:f>IF(E12=1,"Benar","Salah")</x:f>
        <x:v>Benar</x:v>
      </x:c>
    </x:row>
    <x:row r="13" ht="26.399999618530273" hidden="0" customHeight="1">
      <x:c r="A13" s="59" t="n">
        <x:v>3</x:v>
      </x:c>
      <x:c r="B13" s="60" t="str">
        <x:v>Apa perbedaan utama Console.Write() dan Console.WriteLine()?</x:v>
      </x:c>
      <x:c r="C13" s="60" t="str">
        <x:v>Console.WriteLine() berpindah ke baris baru setelah menampilkan output</x:v>
      </x:c>
      <x:c r="D13" s="60" t="str">
        <x:v>Console.WriteLine() berpindah ke baris baru setelah menampilkan output</x:v>
      </x:c>
      <x:c r="E13" s="60" t="n">
        <x:f>IF(C13=D13,1,0)</x:f>
        <x:v>1</x:v>
      </x:c>
      <x:c r="F13" s="61" t="str">
        <x:f>IF(E13=1,"Benar","Salah")</x:f>
        <x:v>Benar</x:v>
      </x:c>
    </x:row>
    <x:row r="14" ht="26.399999618530273" hidden="0" customHeight="1">
      <x:c r="A14" s="59" t="n">
        <x:v>4</x:v>
      </x:c>
      <x:c r="B14" s="60" t="str">
        <x:v>Perintah yang digunakan untuk menerima input dari pengguna adalah...</x:v>
      </x:c>
      <x:c r="C14" s="60" t="str">
        <x:v>Console.ReadLine()</x:v>
      </x:c>
      <x:c r="D14" s="60" t="str">
        <x:v>Console.ReadLine()</x:v>
      </x:c>
      <x:c r="E14" s="60" t="n">
        <x:f>IF(C14=D14,1,0)</x:f>
        <x:v>1</x:v>
      </x:c>
      <x:c r="F14" s="61" t="str">
        <x:f>IF(E14=1,"Benar","Salah")</x:f>
        <x:v>Benar</x:v>
      </x:c>
    </x:row>
    <x:row r="15" ht="26.399999618530273" hidden="0" customHeight="1">
      <x:c r="A15" s="59" t="n">
        <x:v>5</x:v>
      </x:c>
      <x:c r="B15" s="60" t="str">
        <x:v>Manakah deklarasi variable yang benar untuk menyimpan nama siswa?</x:v>
      </x:c>
      <x:c r="C15" s="60" t="str">
        <x:v>B. string nama = "Andi";</x:v>
      </x:c>
      <x:c r="D15" s="60" t="str">
        <x:v>B. string nama = "Andi";</x:v>
      </x:c>
      <x:c r="E15" s="60" t="n">
        <x:f>IF(C15=D15,1,0)</x:f>
        <x:v>1</x:v>
      </x:c>
      <x:c r="F15" s="61" t="str">
        <x:f>IF(E15=1,"Benar","Salah")</x:f>
        <x:v>Benar</x:v>
      </x:c>
    </x:row>
    <x:row r="16" ht="26.399999618530273" hidden="0" customHeight="1">
      <x:c r="A16" s="59" t="n">
        <x:v>6</x:v>
      </x:c>
      <x:c r="B16" s="60" t="str">
        <x:v>Tipe data yang sesuai untuk menyimpan angka 17 adalah...</x:v>
      </x:c>
      <x:c r="C16" s="60" t="str">
        <x:v>C. int</x:v>
      </x:c>
      <x:c r="D16" s="60" t="str">
        <x:v>C. int</x:v>
      </x:c>
      <x:c r="E16" s="60" t="n">
        <x:f>IF(C16=D16,1,0)</x:f>
        <x:v>1</x:v>
      </x:c>
      <x:c r="F16" s="61" t="str">
        <x:f>IF(E16=1,"Benar","Salah")</x:f>
        <x:v>Benar</x:v>
      </x:c>
    </x:row>
    <x:row r="17" ht="26.399999618530273" hidden="0" customHeight="1">
      <x:c r="A17" s="59" t="n">
        <x:v>7</x:v>
      </x:c>
      <x:c r="B17" s="60" t="str">
        <x:v>Tipe data yang cocok untuk menyimpan nilai 85.5 adalah...</x:v>
      </x:c>
      <x:c r="C17" s="60" t="str">
        <x:v>B. double</x:v>
      </x:c>
      <x:c r="D17" s="60" t="str">
        <x:v>B. double</x:v>
      </x:c>
      <x:c r="E17" s="60" t="n">
        <x:f>IF(C17=D17,1,0)</x:f>
        <x:v>1</x:v>
      </x:c>
      <x:c r="F17" s="61" t="str">
        <x:f>IF(E17=1,"Benar","Salah")</x:f>
        <x:v>Benar</x:v>
      </x:c>
    </x:row>
    <x:row r="18" ht="15" hidden="0" customHeight="1">
      <x:c r="A18" s="59" t="n">
        <x:v>8</x:v>
      </x:c>
      <x:c r="B18" s="60" t="str">
        <x:v>Tipe data bool hanya dapat menyimpan nilai...</x:v>
      </x:c>
      <x:c r="C18" s="60" t="str">
        <x:v>C. True dan False</x:v>
      </x:c>
      <x:c r="D18" s="60" t="str">
        <x:v>C. True dan False</x:v>
      </x:c>
      <x:c r="E18" s="60" t="n">
        <x:f>IF(C18=D18,1,0)</x:f>
        <x:v>1</x:v>
      </x:c>
      <x:c r="F18" s="61" t="str">
        <x:f>IF(E18=1,"Benar","Salah")</x:f>
        <x:v>Benar</x:v>
      </x:c>
    </x:row>
    <x:row r="19" ht="26.399999618530273" hidden="0" customHeight="1">
      <x:c r="A19" s="59" t="n">
        <x:v>9</x:v>
      </x:c>
      <x:c r="B19" s="60" t="str">
        <x:v>Output dari: string nama = "Budi"; Console.WriteLine($"Halo {nama}");</x:v>
      </x:c>
      <x:c r="C19" s="60" t="str">
        <x:v>A. Halo nama</x:v>
      </x:c>
      <x:c r="D19" s="60" t="str">
        <x:v>B. Halo Budi</x:v>
      </x:c>
      <x:c r="E19" s="60" t="n">
        <x:f>IF(C19=D19,1,0)</x:f>
        <x:v>0</x:v>
      </x:c>
      <x:c r="F19" s="61" t="str">
        <x:f>IF(E19=1,"Benar","Salah")</x:f>
        <x:v>Salah</x:v>
      </x:c>
    </x:row>
    <x:row r="20" ht="26.399999618530273" hidden="0" customHeight="1">
      <x:c r="A20" s="59" t="n">
        <x:v>10</x:v>
      </x:c>
      <x:c r="B20" s="60" t="str">
        <x:v>Apa fungsi dari: int umur = Convert.ToInt32(Console.ReadLine());</x:v>
      </x:c>
      <x:c r="C20" s="60" t="str">
        <x:v>C. Mengubah angka menjadi string</x:v>
      </x:c>
      <x:c r="D20" s="60" t="str">
        <x:v>B. Menerima input dan mengubahnya menjadi int</x:v>
      </x:c>
      <x:c r="E20" s="60" t="n">
        <x:f>IF(C20=D20,1,0)</x:f>
        <x:v>0</x:v>
      </x:c>
      <x:c r="F20" s="61" t="str">
        <x:f>IF(E20=1,"Benar","Salah")</x:f>
        <x:v>Salah</x:v>
      </x:c>
    </x:row>
    <x:row r="21" ht="15" hidden="0" customHeight="1">
      <x:c r="A21" s="59" t="n">
        <x:v>11</x:v>
      </x:c>
      <x:c r="B21" s="60" t="str">
        <x:v>Hasil dari 10 + 5 adalah...</x:v>
      </x:c>
      <x:c r="C21" s="60" t="str">
        <x:v>B. 15</x:v>
      </x:c>
      <x:c r="D21" s="60" t="str">
        <x:v>B. 15</x:v>
      </x:c>
      <x:c r="E21" s="60" t="n">
        <x:f>IF(C21=D21,1,0)</x:f>
        <x:v>1</x:v>
      </x:c>
      <x:c r="F21" s="61" t="str">
        <x:f>IF(E21=1,"Benar","Salah")</x:f>
        <x:v>Benar</x:v>
      </x:c>
    </x:row>
    <x:row r="22" ht="26.399999618530273" hidden="0" customHeight="1">
      <x:c r="A22" s="59" t="n">
        <x:v>12</x:v>
      </x:c>
      <x:c r="B22" s="60" t="str">
        <x:v>Nilai totalBelanja jika harga = 10000 dan jumlah = 3 adalah...</x:v>
      </x:c>
      <x:c r="C22" s="60" t="str">
        <x:v>C. 30000</x:v>
      </x:c>
      <x:c r="D22" s="60" t="str">
        <x:v>C. 30000</x:v>
      </x:c>
      <x:c r="E22" s="60" t="n">
        <x:f>IF(C22=D22,1,0)</x:f>
        <x:v>1</x:v>
      </x:c>
      <x:c r="F22" s="61" t="str">
        <x:f>IF(E22=1,"Benar","Salah")</x:f>
        <x:v>Benar</x:v>
      </x:c>
    </x:row>
    <x:row r="23" ht="26.399999618530273" hidden="0" customHeight="1">
      <x:c r="A23" s="59" t="n">
        <x:v>13</x:v>
      </x:c>
      <x:c r="B23" s="60" t="str">
        <x:v>Nilai kembalian jika uangPembeli = 50000 dan totalBelanja = 30000 adalah...</x:v>
      </x:c>
      <x:c r="C23" s="60" t="str">
        <x:v>A. 20000</x:v>
      </x:c>
      <x:c r="D23" s="60" t="str">
        <x:v>A. 20000</x:v>
      </x:c>
      <x:c r="E23" s="60" t="n">
        <x:f>IF(C23=D23,1,0)</x:f>
        <x:v>1</x:v>
      </x:c>
      <x:c r="F23" s="61" t="str">
        <x:f>IF(E23=1,"Benar","Salah")</x:f>
        <x:v>Benar</x:v>
      </x:c>
    </x:row>
    <x:row r="24" ht="26.399999618530273" hidden="0" customHeight="1">
      <x:c r="A24" s="59" t="n">
        <x:v>14</x:v>
      </x:c>
      <x:c r="B24" s="60" t="str">
        <x:v>Operator yang digunakan untuk perkalian dalam C# adalah...</x:v>
      </x:c>
      <x:c r="C24" s="60" t="str">
        <x:v>C. *</x:v>
      </x:c>
      <x:c r="D24" s="60" t="str">
        <x:v>C. *</x:v>
      </x:c>
      <x:c r="E24" s="60" t="n">
        <x:f>IF(C24=D24,1,0)</x:f>
        <x:v>1</x:v>
      </x:c>
      <x:c r="F24" s="61" t="str">
        <x:f>IF(E24=1,"Benar","Salah")</x:f>
        <x:v>Benar</x:v>
      </x:c>
    </x:row>
    <x:row r="25" ht="26.399999618530273" hidden="0" customHeight="1">
      <x:c r="A25" s="59" t="n">
        <x:v>15</x:v>
      </x:c>
      <x:c r="B25" s="60" t="str">
        <x:v>Operator yang digunakan untuk mengecek apakah dua nilai sama adalah...</x:v>
      </x:c>
      <x:c r="C25" s="60" t="str">
        <x:v>B. ==</x:v>
      </x:c>
      <x:c r="D25" s="60" t="str">
        <x:v>B. ==</x:v>
      </x:c>
      <x:c r="E25" s="60" t="n">
        <x:f>IF(C25=D25,1,0)</x:f>
        <x:v>1</x:v>
      </x:c>
      <x:c r="F25" s="61" t="str">
        <x:f>IF(E25=1,"Benar","Salah")</x:f>
        <x:v>Benar</x:v>
      </x:c>
    </x:row>
    <x:row r="26" ht="15" hidden="0" customHeight="1">
      <x:c r="A26" s="59" t="n">
        <x:v>16</x:v>
      </x:c>
      <x:c r="B26" s="60" t="str">
        <x:v>Hasil dari: int nilai = 80; bool lulus = nilai &gt;= 75;</x:v>
      </x:c>
      <x:c r="C26" s="60" t="str">
        <x:v>D. False</x:v>
      </x:c>
      <x:c r="D26" s="60" t="str">
        <x:v>C. True</x:v>
      </x:c>
      <x:c r="E26" s="60" t="n">
        <x:f>IF(C26=D26,1,0)</x:f>
        <x:v>0</x:v>
      </x:c>
      <x:c r="F26" s="61" t="str">
        <x:f>IF(E26=1,"Benar","Salah")</x:f>
        <x:v>Salah</x:v>
      </x:c>
    </x:row>
    <x:row r="27" ht="15" hidden="0" customHeight="1">
      <x:c r="A27" s="59" t="n">
        <x:v>17</x:v>
      </x:c>
      <x:c r="B27" s="60" t="str">
        <x:v>Hasil dari: Console.WriteLine(10 &lt; 5);</x:v>
      </x:c>
      <x:c r="C27" s="60" t="str">
        <x:v>D. False</x:v>
      </x:c>
      <x:c r="D27" s="60" t="str">
        <x:v>D. False</x:v>
      </x:c>
      <x:c r="E27" s="60" t="n">
        <x:f>IF(C27=D27,1,0)</x:f>
        <x:v>1</x:v>
      </x:c>
      <x:c r="F27" s="61" t="str">
        <x:f>IF(E27=1,"Benar","Salah")</x:f>
        <x:v>Benar</x:v>
      </x:c>
    </x:row>
    <x:row r="28" ht="15" hidden="0" customHeight="1">
      <x:c r="A28" s="59" t="n">
        <x:v>18</x:v>
      </x:c>
      <x:c r="B28" s="60" t="str">
        <x:v>Operator != memiliki arti...</x:v>
      </x:c>
      <x:c r="C28" s="60" t="str">
        <x:v>C. Tidak sama dengan</x:v>
      </x:c>
      <x:c r="D28" s="60" t="str">
        <x:v>C. Tidak sama dengan</x:v>
      </x:c>
      <x:c r="E28" s="60" t="n">
        <x:f>IF(C28=D28,1,0)</x:f>
        <x:v>1</x:v>
      </x:c>
      <x:c r="F28" s="61" t="str">
        <x:f>IF(E28=1,"Benar","Salah")</x:f>
        <x:v>Benar</x:v>
      </x:c>
    </x:row>
    <x:row r="29" ht="26.399999618530273" hidden="0" customHeight="1">
      <x:c r="A29" s="62" t="n">
        <x:v>19</x:v>
      </x:c>
      <x:c r="B29" s="63" t="str">
        <x:v>Jika harga=15000, jumlah=2, uang=50000, berapa total, kembalian, dan uangCukup?</x:v>
      </x:c>
      <x:c r="C29" s="63" t="str">
        <x:v>A. 30000, 20000, True</x:v>
      </x:c>
      <x:c r="D29" s="63" t="str">
        <x:v>A. 30000, 20000, True</x:v>
      </x:c>
      <x:c r="E29" s="63" t="n">
        <x:f>IF(C29=D29,1,0)</x:f>
        <x:v>1</x:v>
      </x:c>
      <x:c r="F29" s="64" t="str">
        <x:f>IF(E29=1,"Benar","Salah")</x:f>
        <x:v>Benar</x:v>
      </x:c>
    </x:row>
    <x:row r="32">
      <x:c r="A32" s="138" t="str">
        <x:v>Feedback Belajar</x:v>
      </x:c>
      <x:c r="B32" s="138"/>
      <x:c r="C32" s="138"/>
      <x:c r="D32" s="138"/>
      <x:c r="E32" s="138"/>
      <x:c r="F32" s="138"/>
    </x:row>
    <x:row r="33">
      <x:c r="A33" s="149" t="str">
        <x:v>String interpolation</x:v>
      </x:c>
      <x:c r="B33" s="57" t="str">
        <x:v>Pelajari kembali fungsi $"..." dan bagaimana {nama} diganti dengan nilai variable.</x:v>
      </x:c>
      <x:c r="C33" s="57"/>
      <x:c r="D33" s="57"/>
      <x:c r="E33" s="57"/>
      <x:c r="F33" s="58"/>
    </x:row>
    <x:row r="34">
      <x:c r="A34" s="159" t="str">
        <x:v>Konversi tipe data</x:v>
      </x:c>
      <x:c r="B34" s="60" t="str">
        <x:v>Convert.ToInt32(Console.ReadLine()) menerima input lalu mengubahnya menjadi integer.</x:v>
      </x:c>
      <x:c r="C34" s="60"/>
      <x:c r="D34" s="60"/>
      <x:c r="E34" s="60"/>
      <x:c r="F34" s="61"/>
    </x:row>
    <x:row r="35">
      <x:c r="A35" s="159" t="str">
        <x:v>Operator perbandingan</x:v>
      </x:c>
      <x:c r="B35" s="60" t="str">
        <x:v>80 &gt;= 75 menghasilkan True. Latih kembali &gt;, &lt;, &gt;=, &lt;=, ==, dan !=.</x:v>
      </x:c>
      <x:c r="C35" s="60"/>
      <x:c r="D35" s="60"/>
      <x:c r="E35" s="60"/>
      <x:c r="F35" s="61"/>
    </x:row>
    <x:row r="36">
      <x:c r="A36" s="150" t="str">
        <x:v>Saran belajar</x:v>
      </x:c>
      <x:c r="B36" s="63" t="str">
        <x:v>Coba prediksi output dari 5–10 potongan kode pendek, lalu jalankan program untuk mengecek hasilnya.</x:v>
      </x:c>
      <x:c r="C36" s="63"/>
      <x:c r="D36" s="63"/>
      <x:c r="E36" s="63"/>
      <x:c r="F36" s="64"/>
    </x:row>
  </x:sheetData>
  <x:mergeCells>
    <x:mergeCell ref="A1:F1"/>
    <x:mergeCell ref="A32:F32"/>
    <x:mergeCell ref="B33:F33"/>
    <x:mergeCell ref="B34:F34"/>
    <x:mergeCell ref="B35:F35"/>
    <x:mergeCell ref="B36:F36"/>
  </x:mergeCells>
  <x:conditionalFormatting sqref="F11:F29">
    <x:cfRule type="expression" dxfId="10" priority="1">
      <x:formula>F11="Benar"</x:formula>
    </x:cfRule>
    <x:cfRule type="expression" dxfId="11" priority="2">
      <x:formula>F11="Salah"</x:formula>
    </x:cfRule>
  </x:conditionalFormatting>
  <x:conditionalFormatting sqref="B7:B7">
    <x:cfRule type="expression" dxfId="12" priority="3">
      <x:formula>B7="Lulus"</x:formula>
    </x:cfRule>
    <x:cfRule type="expression" dxfId="13" priority="4">
      <x:formula>B7="Belum Lulus"</x:formula>
    </x:cfRule>
  </x:conditionalFormatting>
  <x:pageMargins left="0.7" right="0.7" top="0.75" bottom="0.75" header="0.3" footer="0.3"/>
  <x:drawing xmlns:r="http://schemas.openxmlformats.org/officeDocument/2006/relationships" r:id="R9900634c82f846b8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34" hidden="0" customWidth="1"/>
    <x:col min="4" max="4" width="34" hidden="0" customWidth="1"/>
    <x:col min="5" max="5" width="9" hidden="0" customWidth="1"/>
    <x:col min="6" max="6" width="14" hidden="0" customWidth="1"/>
    <x:col min="8" max="8" width="18" hidden="0" customWidth="1"/>
    <x:col min="9" max="9" width="12" hidden="0" customWidth="1"/>
  </x:cols>
  <x:sheetData>
    <x:row r="1" ht="28" customHeight="1">
      <x:c r="A1" s="5" t="str">
        <x:v>Penilaian C# Dasar — Muhammad Rafa Athaya</x:v>
      </x:c>
      <x:c r="B1" s="5"/>
      <x:c r="C1" s="5"/>
      <x:c r="D1" s="5"/>
      <x:c r="E1" s="5"/>
      <x:c r="F1" s="5"/>
    </x:row>
    <x:row r="3">
      <x:c r="A3" s="121" t="str">
        <x:v>Nama</x:v>
      </x:c>
      <x:c r="B3" s="58" t="str">
        <x:v>Muhammad Rafa Athaya</x:v>
      </x:c>
      <x:c r="D3" s="121" t="str">
        <x:v>Benar</x:v>
      </x:c>
      <x:c r="E3" s="58" t="n">
        <x:f>SUM(E11:E29)</x:f>
        <x:v>11</x:v>
      </x:c>
      <x:c r="H3" s="21" t="str">
        <x:v>Hasil</x:v>
      </x:c>
      <x:c r="I3" s="23" t="str">
        <x:v>Jumlah</x:v>
      </x:c>
    </x:row>
    <x:row r="4">
      <x:c r="A4" s="122" t="str">
        <x:v>Kelas</x:v>
      </x:c>
      <x:c r="B4" s="61" t="str">
        <x:v>X RPL 1</x:v>
      </x:c>
      <x:c r="D4" s="122" t="str">
        <x:v>Salah</x:v>
      </x:c>
      <x:c r="E4" s="61" t="n">
        <x:f>19-E3</x:f>
        <x:v>8</x:v>
      </x:c>
      <x:c r="H4" s="56" t="str">
        <x:v>Benar</x:v>
      </x:c>
      <x:c r="I4" s="58" t="n">
        <x:f>E3</x:f>
        <x:v>11</x:v>
      </x:c>
    </x:row>
    <x:row r="5">
      <x:c r="A5" s="122" t="str">
        <x:v>Jumlah Soal</x:v>
      </x:c>
      <x:c r="B5" s="61" t="n">
        <x:v>19</x:v>
      </x:c>
      <x:c r="D5" s="122" t="str">
        <x:v>Nilai</x:v>
      </x:c>
      <x:c r="E5" s="133" t="n">
        <x:f>E3/19*100</x:f>
        <x:v>57.89473684210527</x:v>
      </x:c>
      <x:c r="H5" s="62" t="str">
        <x:v>Salah</x:v>
      </x:c>
      <x:c r="I5" s="64" t="n">
        <x:f>E4</x:f>
        <x:v>8</x:v>
      </x:c>
    </x:row>
    <x:row r="6">
      <x:c r="A6" s="122" t="str">
        <x:v>KKM</x:v>
      </x:c>
      <x:c r="B6" s="61" t="n">
        <x:v>75</x:v>
      </x:c>
      <x:c r="D6" s="122" t="str">
        <x:v>Persentase Benar</x:v>
      </x:c>
      <x:c r="E6" s="135" t="n">
        <x:f>E3/19</x:f>
        <x:v>0.5789473684210527</x:v>
      </x:c>
    </x:row>
    <x:row r="7">
      <x:c r="A7" s="123" t="str">
        <x:v>Status</x:v>
      </x:c>
      <x:c r="B7" s="64" t="str">
        <x:f>IF(E5&gt;=B6,"Lulus","Belum Lulus")</x:f>
        <x:v>Belum Lulus</x:v>
      </x:c>
      <x:c r="D7" s="123" t="str">
        <x:v>Catatan</x:v>
      </x:c>
      <x:c r="E7" s="64" t="str">
        <x:v>Berdasarkan 19 jawaban yang tersedia</x:v>
      </x:c>
    </x:row>
    <x:row r="8">
      <x:c r="H8" s="21" t="str">
        <x:v>Pembanding</x:v>
      </x:c>
      <x:c r="I8" s="23" t="str">
        <x:v>Nilai</x:v>
      </x:c>
    </x:row>
    <x:row r="9">
      <x:c r="H9" s="56" t="str">
        <x:v>Nilai Siswa</x:v>
      </x:c>
      <x:c r="I9" s="58" t="n">
        <x:f>E5</x:f>
        <x:v>57.89473684210527</x:v>
      </x:c>
    </x:row>
    <x:row r="10" ht="15" hidden="0" customHeight="1">
      <x:c r="A10" s="21" t="str">
        <x:v>No</x:v>
      </x:c>
      <x:c r="B10" s="22" t="str">
        <x:v>Soal / Materi</x:v>
      </x:c>
      <x:c r="C10" s="22" t="str">
        <x:v>Jawaban Siswa</x:v>
      </x:c>
      <x:c r="D10" s="22" t="str">
        <x:v>Kunci Jawaban</x:v>
      </x:c>
      <x:c r="E10" s="22" t="str">
        <x:v>Poin</x:v>
      </x:c>
      <x:c r="F10" s="23" t="str">
        <x:v>Keterangan</x:v>
      </x:c>
      <x:c r="H10" s="62" t="str">
        <x:v>KKM</x:v>
      </x:c>
      <x:c r="I10" s="64" t="n">
        <x:v>75</x:v>
      </x:c>
    </x:row>
    <x:row r="11" ht="26.399999618530273" hidden="0" customHeight="1">
      <x:c r="A11" s="56" t="n">
        <x:v>1</x:v>
      </x:c>
      <x:c r="B11" s="57" t="str">
        <x:v>File utama yang biasanya digunakan untuk menulis kode pada Console App C# adalah...</x:v>
      </x:c>
      <x:c r="C11" s="57" t="str">
        <x:v>Program.cs</x:v>
      </x:c>
      <x:c r="D11" s="57" t="str">
        <x:v>Program.cs</x:v>
      </x:c>
      <x:c r="E11" s="57" t="n">
        <x:f>IF(C11=D11,1,0)</x:f>
        <x:v>1</x:v>
      </x:c>
      <x:c r="F11" s="58" t="str">
        <x:f>IF(E11=1,"Benar","Salah")</x:f>
        <x:v>Benar</x:v>
      </x:c>
    </x:row>
    <x:row r="12" ht="39.599998474121094" hidden="0" customHeight="1">
      <x:c r="A12" s="59" t="n">
        <x:v>2</x:v>
      </x:c>
      <x:c r="B12" s="60" t="str">
        <x:v>Perintah yang digunakan untuk menampilkan tulisan ke layar dan berpindah ke baris berikutnya adalah...</x:v>
      </x:c>
      <x:c r="C12" s="60" t="str">
        <x:v>Console.WriteLine()</x:v>
      </x:c>
      <x:c r="D12" s="60" t="str">
        <x:v>Console.WriteLine()</x:v>
      </x:c>
      <x:c r="E12" s="60" t="n">
        <x:f>IF(C12=D12,1,0)</x:f>
        <x:v>1</x:v>
      </x:c>
      <x:c r="F12" s="61" t="str">
        <x:f>IF(E12=1,"Benar","Salah")</x:f>
        <x:v>Benar</x:v>
      </x:c>
    </x:row>
    <x:row r="13" ht="26.399999618530273" hidden="0" customHeight="1">
      <x:c r="A13" s="59" t="n">
        <x:v>3</x:v>
      </x:c>
      <x:c r="B13" s="60" t="str">
        <x:v>Apa perbedaan utama Console.Write() dan Console.WriteLine()?</x:v>
      </x:c>
      <x:c r="C13" s="60" t="str">
        <x:v>Console.WriteLine() berpindah ke baris baru setelah menampilkan output</x:v>
      </x:c>
      <x:c r="D13" s="60" t="str">
        <x:v>Console.WriteLine() berpindah ke baris baru setelah menampilkan output</x:v>
      </x:c>
      <x:c r="E13" s="60" t="n">
        <x:f>IF(C13=D13,1,0)</x:f>
        <x:v>1</x:v>
      </x:c>
      <x:c r="F13" s="61" t="str">
        <x:f>IF(E13=1,"Benar","Salah")</x:f>
        <x:v>Benar</x:v>
      </x:c>
    </x:row>
    <x:row r="14" ht="26.399999618530273" hidden="0" customHeight="1">
      <x:c r="A14" s="59" t="n">
        <x:v>4</x:v>
      </x:c>
      <x:c r="B14" s="60" t="str">
        <x:v>Perintah yang digunakan untuk menerima input dari pengguna adalah...</x:v>
      </x:c>
      <x:c r="C14" s="60" t="str">
        <x:v>Console.ReadLine()</x:v>
      </x:c>
      <x:c r="D14" s="60" t="str">
        <x:v>Console.ReadLine()</x:v>
      </x:c>
      <x:c r="E14" s="60" t="n">
        <x:f>IF(C14=D14,1,0)</x:f>
        <x:v>1</x:v>
      </x:c>
      <x:c r="F14" s="61" t="str">
        <x:f>IF(E14=1,"Benar","Salah")</x:f>
        <x:v>Benar</x:v>
      </x:c>
    </x:row>
    <x:row r="15" ht="26.399999618530273" hidden="0" customHeight="1">
      <x:c r="A15" s="59" t="n">
        <x:v>5</x:v>
      </x:c>
      <x:c r="B15" s="60" t="str">
        <x:v>Manakah deklarasi variable yang benar untuk menyimpan nama siswa?</x:v>
      </x:c>
      <x:c r="C15" s="60" t="str">
        <x:v>B. string nama = "Andi";</x:v>
      </x:c>
      <x:c r="D15" s="60" t="str">
        <x:v>B. string nama = "Andi";</x:v>
      </x:c>
      <x:c r="E15" s="60" t="n">
        <x:f>IF(C15=D15,1,0)</x:f>
        <x:v>1</x:v>
      </x:c>
      <x:c r="F15" s="61" t="str">
        <x:f>IF(E15=1,"Benar","Salah")</x:f>
        <x:v>Benar</x:v>
      </x:c>
    </x:row>
    <x:row r="16" ht="26.399999618530273" hidden="0" customHeight="1">
      <x:c r="A16" s="59" t="n">
        <x:v>6</x:v>
      </x:c>
      <x:c r="B16" s="60" t="str">
        <x:v>Tipe data yang sesuai untuk menyimpan angka 17 adalah...</x:v>
      </x:c>
      <x:c r="C16" s="60" t="str">
        <x:v>D. char</x:v>
      </x:c>
      <x:c r="D16" s="60" t="str">
        <x:v>C. int</x:v>
      </x:c>
      <x:c r="E16" s="60" t="n">
        <x:f>IF(C16=D16,1,0)</x:f>
        <x:v>0</x:v>
      </x:c>
      <x:c r="F16" s="61" t="str">
        <x:f>IF(E16=1,"Benar","Salah")</x:f>
        <x:v>Salah</x:v>
      </x:c>
    </x:row>
    <x:row r="17" ht="26.399999618530273" hidden="0" customHeight="1">
      <x:c r="A17" s="59" t="n">
        <x:v>7</x:v>
      </x:c>
      <x:c r="B17" s="60" t="str">
        <x:v>Tipe data yang cocok untuk menyimpan nilai 85.5 adalah...</x:v>
      </x:c>
      <x:c r="C17" s="60" t="str">
        <x:v>B. double</x:v>
      </x:c>
      <x:c r="D17" s="60" t="str">
        <x:v>B. double</x:v>
      </x:c>
      <x:c r="E17" s="60" t="n">
        <x:f>IF(C17=D17,1,0)</x:f>
        <x:v>1</x:v>
      </x:c>
      <x:c r="F17" s="61" t="str">
        <x:f>IF(E17=1,"Benar","Salah")</x:f>
        <x:v>Benar</x:v>
      </x:c>
    </x:row>
    <x:row r="18" ht="15" hidden="0" customHeight="1">
      <x:c r="A18" s="59" t="n">
        <x:v>8</x:v>
      </x:c>
      <x:c r="B18" s="60" t="str">
        <x:v>Tipe data bool hanya dapat menyimpan nilai...</x:v>
      </x:c>
      <x:c r="C18" s="60" t="str">
        <x:v>A. Angka dan huruf</x:v>
      </x:c>
      <x:c r="D18" s="60" t="str">
        <x:v>C. True dan False</x:v>
      </x:c>
      <x:c r="E18" s="60" t="n">
        <x:f>IF(C18=D18,1,0)</x:f>
        <x:v>0</x:v>
      </x:c>
      <x:c r="F18" s="61" t="str">
        <x:f>IF(E18=1,"Benar","Salah")</x:f>
        <x:v>Salah</x:v>
      </x:c>
    </x:row>
    <x:row r="19" ht="26.399999618530273" hidden="0" customHeight="1">
      <x:c r="A19" s="59" t="n">
        <x:v>9</x:v>
      </x:c>
      <x:c r="B19" s="60" t="str">
        <x:v>Output dari: string nama = "Budi"; Console.WriteLine($"Halo {nama}");</x:v>
      </x:c>
      <x:c r="C19" s="60" t="str">
        <x:v>B. Halo Budi</x:v>
      </x:c>
      <x:c r="D19" s="60" t="str">
        <x:v>B. Halo Budi</x:v>
      </x:c>
      <x:c r="E19" s="60" t="n">
        <x:f>IF(C19=D19,1,0)</x:f>
        <x:v>1</x:v>
      </x:c>
      <x:c r="F19" s="61" t="str">
        <x:f>IF(E19=1,"Benar","Salah")</x:f>
        <x:v>Benar</x:v>
      </x:c>
    </x:row>
    <x:row r="20" ht="26.399999618530273" hidden="0" customHeight="1">
      <x:c r="A20" s="59" t="n">
        <x:v>10</x:v>
      </x:c>
      <x:c r="B20" s="60" t="str">
        <x:v>Apa fungsi dari: int umur = Convert.ToInt32(Console.ReadLine());</x:v>
      </x:c>
      <x:c r="C20" s="60" t="str">
        <x:v>D. Membandingkan umur</x:v>
      </x:c>
      <x:c r="D20" s="60" t="str">
        <x:v>B. Menerima input dan mengubahnya menjadi int</x:v>
      </x:c>
      <x:c r="E20" s="60" t="n">
        <x:f>IF(C20=D20,1,0)</x:f>
        <x:v>0</x:v>
      </x:c>
      <x:c r="F20" s="61" t="str">
        <x:f>IF(E20=1,"Benar","Salah")</x:f>
        <x:v>Salah</x:v>
      </x:c>
    </x:row>
    <x:row r="21" ht="15" hidden="0" customHeight="1">
      <x:c r="A21" s="59" t="n">
        <x:v>11</x:v>
      </x:c>
      <x:c r="B21" s="60" t="str">
        <x:v>Hasil dari 10 + 5 adalah...</x:v>
      </x:c>
      <x:c r="C21" s="60" t="str">
        <x:v>B. 15</x:v>
      </x:c>
      <x:c r="D21" s="60" t="str">
        <x:v>B. 15</x:v>
      </x:c>
      <x:c r="E21" s="60" t="n">
        <x:f>IF(C21=D21,1,0)</x:f>
        <x:v>1</x:v>
      </x:c>
      <x:c r="F21" s="61" t="str">
        <x:f>IF(E21=1,"Benar","Salah")</x:f>
        <x:v>Benar</x:v>
      </x:c>
    </x:row>
    <x:row r="22" ht="26.399999618530273" hidden="0" customHeight="1">
      <x:c r="A22" s="59" t="n">
        <x:v>12</x:v>
      </x:c>
      <x:c r="B22" s="60" t="str">
        <x:v>Nilai totalBelanja jika harga = 10000 dan jumlah = 3 adalah...</x:v>
      </x:c>
      <x:c r="C22" s="60" t="str">
        <x:v>D. 3000</x:v>
      </x:c>
      <x:c r="D22" s="60" t="str">
        <x:v>C. 30000</x:v>
      </x:c>
      <x:c r="E22" s="60" t="n">
        <x:f>IF(C22=D22,1,0)</x:f>
        <x:v>0</x:v>
      </x:c>
      <x:c r="F22" s="61" t="str">
        <x:f>IF(E22=1,"Benar","Salah")</x:f>
        <x:v>Salah</x:v>
      </x:c>
    </x:row>
    <x:row r="23" ht="26.399999618530273" hidden="0" customHeight="1">
      <x:c r="A23" s="59" t="n">
        <x:v>13</x:v>
      </x:c>
      <x:c r="B23" s="60" t="str">
        <x:v>Nilai kembalian jika uangPembeli = 50000 dan totalBelanja = 30000 adalah...</x:v>
      </x:c>
      <x:c r="C23" s="60" t="str">
        <x:v>A. 20000</x:v>
      </x:c>
      <x:c r="D23" s="60" t="str">
        <x:v>A. 20000</x:v>
      </x:c>
      <x:c r="E23" s="60" t="n">
        <x:f>IF(C23=D23,1,0)</x:f>
        <x:v>1</x:v>
      </x:c>
      <x:c r="F23" s="61" t="str">
        <x:f>IF(E23=1,"Benar","Salah")</x:f>
        <x:v>Benar</x:v>
      </x:c>
    </x:row>
    <x:row r="24" ht="26.399999618530273" hidden="0" customHeight="1">
      <x:c r="A24" s="59" t="n">
        <x:v>14</x:v>
      </x:c>
      <x:c r="B24" s="60" t="str">
        <x:v>Operator yang digunakan untuk perkalian dalam C# adalah...</x:v>
      </x:c>
      <x:c r="C24" s="60" t="str">
        <x:v>D. %</x:v>
      </x:c>
      <x:c r="D24" s="60" t="str">
        <x:v>C. *</x:v>
      </x:c>
      <x:c r="E24" s="60" t="n">
        <x:f>IF(C24=D24,1,0)</x:f>
        <x:v>0</x:v>
      </x:c>
      <x:c r="F24" s="61" t="str">
        <x:f>IF(E24=1,"Benar","Salah")</x:f>
        <x:v>Salah</x:v>
      </x:c>
    </x:row>
    <x:row r="25" ht="26.399999618530273" hidden="0" customHeight="1">
      <x:c r="A25" s="59" t="n">
        <x:v>15</x:v>
      </x:c>
      <x:c r="B25" s="60" t="str">
        <x:v>Operator yang digunakan untuk mengecek apakah dua nilai sama adalah...</x:v>
      </x:c>
      <x:c r="C25" s="60" t="str">
        <x:v>C. !=</x:v>
      </x:c>
      <x:c r="D25" s="60" t="str">
        <x:v>B. ==</x:v>
      </x:c>
      <x:c r="E25" s="60" t="n">
        <x:f>IF(C25=D25,1,0)</x:f>
        <x:v>0</x:v>
      </x:c>
      <x:c r="F25" s="61" t="str">
        <x:f>IF(E25=1,"Benar","Salah")</x:f>
        <x:v>Salah</x:v>
      </x:c>
    </x:row>
    <x:row r="26" ht="15" hidden="0" customHeight="1">
      <x:c r="A26" s="59" t="n">
        <x:v>16</x:v>
      </x:c>
      <x:c r="B26" s="60" t="str">
        <x:v>Hasil dari: int nilai = 80; bool lulus = nilai &gt;= 75;</x:v>
      </x:c>
      <x:c r="C26" s="60" t="str">
        <x:v>D. False</x:v>
      </x:c>
      <x:c r="D26" s="60" t="str">
        <x:v>C. True</x:v>
      </x:c>
      <x:c r="E26" s="60" t="n">
        <x:f>IF(C26=D26,1,0)</x:f>
        <x:v>0</x:v>
      </x:c>
      <x:c r="F26" s="61" t="str">
        <x:f>IF(E26=1,"Benar","Salah")</x:f>
        <x:v>Salah</x:v>
      </x:c>
    </x:row>
    <x:row r="27" ht="15" hidden="0" customHeight="1">
      <x:c r="A27" s="59" t="n">
        <x:v>17</x:v>
      </x:c>
      <x:c r="B27" s="60" t="str">
        <x:v>Hasil dari: Console.WriteLine(10 &lt; 5);</x:v>
      </x:c>
      <x:c r="C27" s="60" t="str">
        <x:v>D. False</x:v>
      </x:c>
      <x:c r="D27" s="60" t="str">
        <x:v>D. False</x:v>
      </x:c>
      <x:c r="E27" s="60" t="n">
        <x:f>IF(C27=D27,1,0)</x:f>
        <x:v>1</x:v>
      </x:c>
      <x:c r="F27" s="61" t="str">
        <x:f>IF(E27=1,"Benar","Salah")</x:f>
        <x:v>Benar</x:v>
      </x:c>
    </x:row>
    <x:row r="28" ht="15" hidden="0" customHeight="1">
      <x:c r="A28" s="59" t="n">
        <x:v>18</x:v>
      </x:c>
      <x:c r="B28" s="60" t="str">
        <x:v>Operator != memiliki arti...</x:v>
      </x:c>
      <x:c r="C28" s="60" t="str">
        <x:v>C. Tidak sama dengan</x:v>
      </x:c>
      <x:c r="D28" s="60" t="str">
        <x:v>C. Tidak sama dengan</x:v>
      </x:c>
      <x:c r="E28" s="60" t="n">
        <x:f>IF(C28=D28,1,0)</x:f>
        <x:v>1</x:v>
      </x:c>
      <x:c r="F28" s="61" t="str">
        <x:f>IF(E28=1,"Benar","Salah")</x:f>
        <x:v>Benar</x:v>
      </x:c>
    </x:row>
    <x:row r="29" ht="26.399999618530273" hidden="0" customHeight="1">
      <x:c r="A29" s="62" t="n">
        <x:v>19</x:v>
      </x:c>
      <x:c r="B29" s="63" t="str">
        <x:v>Jika harga=15000, jumlah=2, uang=50000, berapa total, kembalian, dan uangCukup?</x:v>
      </x:c>
      <x:c r="C29" s="63" t="str">
        <x:v>D. 75000, -25000, False</x:v>
      </x:c>
      <x:c r="D29" s="63" t="str">
        <x:v>A. 30000, 20000, True</x:v>
      </x:c>
      <x:c r="E29" s="63" t="n">
        <x:f>IF(C29=D29,1,0)</x:f>
        <x:v>0</x:v>
      </x:c>
      <x:c r="F29" s="64" t="str">
        <x:f>IF(E29=1,"Benar","Salah")</x:f>
        <x:v>Salah</x:v>
      </x:c>
    </x:row>
    <x:row r="32">
      <x:c r="A32" s="138" t="str">
        <x:v>Feedback Belajar</x:v>
      </x:c>
      <x:c r="B32" s="138"/>
      <x:c r="C32" s="138"/>
      <x:c r="D32" s="138"/>
      <x:c r="E32" s="138"/>
      <x:c r="F32" s="138"/>
    </x:row>
    <x:row r="33">
      <x:c r="A33" s="149" t="str">
        <x:v>Tipe data</x:v>
      </x:c>
      <x:c r="B33" s="57" t="str">
        <x:v>Ulangi int, double, string, dan bool. Angka 17 cocok disimpan sebagai int, sedangkan bool hanya True/False.</x:v>
      </x:c>
      <x:c r="C33" s="57"/>
      <x:c r="D33" s="57"/>
      <x:c r="E33" s="57"/>
      <x:c r="F33" s="58"/>
    </x:row>
    <x:row r="34">
      <x:c r="A34" s="159" t="str">
        <x:v>Konversi input</x:v>
      </x:c>
      <x:c r="B34" s="60" t="str">
        <x:v>Pelajari kembali Convert.ToInt32(Console.ReadLine()) untuk menerima input angka dari pengguna.</x:v>
      </x:c>
      <x:c r="C34" s="60"/>
      <x:c r="D34" s="60"/>
      <x:c r="E34" s="60"/>
      <x:c r="F34" s="61"/>
    </x:row>
    <x:row r="35">
      <x:c r="A35" s="159" t="str">
        <x:v>Operator aritmatika</x:v>
      </x:c>
      <x:c r="B35" s="60" t="str">
        <x:v>Perkalian memakai *, sedangkan % adalah modulus/sisa bagi. Latih operasi dasar +, -, *, /, %.</x:v>
      </x:c>
      <x:c r="C35" s="60"/>
      <x:c r="D35" s="60"/>
      <x:c r="E35" s="60"/>
      <x:c r="F35" s="61"/>
    </x:row>
    <x:row r="36">
      <x:c r="A36" s="159" t="str">
        <x:v>Operator perbandingan</x:v>
      </x:c>
      <x:c r="B36" s="60" t="str">
        <x:v>Sama dengan memakai ==, tidak sama dengan memakai !=. 80 &gt;= 75 menghasilkan True.</x:v>
      </x:c>
      <x:c r="C36" s="60"/>
      <x:c r="D36" s="60"/>
      <x:c r="E36" s="60"/>
      <x:c r="F36" s="61"/>
    </x:row>
    <x:row r="37">
      <x:c r="A37" s="159" t="str">
        <x:v>Membaca alur kode</x:v>
      </x:c>
      <x:c r="B37" s="60" t="str">
        <x:v>Kerjakan per baris: tentukan nilai variable, hitung operasi, baru tentukan hasil perbandingan.</x:v>
      </x:c>
      <x:c r="C37" s="60"/>
      <x:c r="D37" s="60"/>
      <x:c r="E37" s="60"/>
      <x:c r="F37" s="61"/>
    </x:row>
    <x:row r="38">
      <x:c r="A38" s="150" t="str">
        <x:v>Saran belajar</x:v>
      </x:c>
      <x:c r="B38" s="63" t="str">
        <x:v>Ulangi materi variable, tipe data, operator aritmatika, dan operator perbandingan sebelum masuk if/else.</x:v>
      </x:c>
      <x:c r="C38" s="63"/>
      <x:c r="D38" s="63"/>
      <x:c r="E38" s="63"/>
      <x:c r="F38" s="64"/>
    </x:row>
  </x:sheetData>
  <x:mergeCells>
    <x:mergeCell ref="A1:F1"/>
    <x:mergeCell ref="A32:F32"/>
    <x:mergeCell ref="B33:F33"/>
    <x:mergeCell ref="B34:F34"/>
    <x:mergeCell ref="B35:F35"/>
    <x:mergeCell ref="B36:F36"/>
    <x:mergeCell ref="B37:F37"/>
    <x:mergeCell ref="B38:F38"/>
  </x:mergeCells>
  <x:conditionalFormatting sqref="F11:F29">
    <x:cfRule type="expression" dxfId="14" priority="1">
      <x:formula>F11="Benar"</x:formula>
    </x:cfRule>
    <x:cfRule type="expression" dxfId="15" priority="2">
      <x:formula>F11="Salah"</x:formula>
    </x:cfRule>
  </x:conditionalFormatting>
  <x:conditionalFormatting sqref="B7:B7">
    <x:cfRule type="expression" dxfId="16" priority="3">
      <x:formula>B7="Lulus"</x:formula>
    </x:cfRule>
    <x:cfRule type="expression" dxfId="17" priority="4">
      <x:formula>B7="Belum Lulus"</x:formula>
    </x:cfRule>
  </x:conditionalFormatting>
  <x:pageMargins left="0.7" right="0.7" top="0.75" bottom="0.75" header="0.3" footer="0.3"/>
  <x:drawing xmlns:r="http://schemas.openxmlformats.org/officeDocument/2006/relationships" r:id="Rf98eaf1878da43b0"/>
</x:worksheet>
</file>